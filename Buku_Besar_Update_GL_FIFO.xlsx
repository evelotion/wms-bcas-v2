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Buku_Besar" sheetId="1" state="visible" r:id="rId3"/>
    <sheet name="Harga_FIFO_Stok_Aktif" sheetId="2" state="visible" r:id="rId4"/>
    <sheet name="Ringkasan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K235" authorId="0">
      <text>
        <r>
          <rPr>
            <sz val="10"/>
            <rFont val="Arial"/>
            <family val="2"/>
          </rPr>
          <t xml:space="preserve">Nilai asli di CSV cuma ' 4 ' (tanpa bulan/tahun) - tidak diubah, mohon dilengkapi manual.</t>
        </r>
      </text>
    </comment>
    <comment ref="AB210" authorId="0">
      <text>
        <r>
          <rPr>
            <sz val="10"/>
            <rFont val="Arial"/>
            <family val="2"/>
          </rPr>
          <t xml:space="preserve">SKU tidak ditemukan di sistem. GL 1442301 (CTK) adalah usulan berdasarkan mayoritas prefix IDSS - mohon konfirmasi.</t>
        </r>
      </text>
    </comment>
    <comment ref="AB218" authorId="0">
      <text>
        <r>
          <rPr>
            <sz val="10"/>
            <rFont val="Arial"/>
            <family val="2"/>
          </rPr>
          <t xml:space="preserve">SKU tidak ditemukan di sistem. GL 1442301 (CTK) adalah usulan berdasarkan mayoritas prefix IDSS - mohon konfirmasi.</t>
        </r>
      </text>
    </comment>
    <comment ref="AB219" authorId="0">
      <text>
        <r>
          <rPr>
            <sz val="10"/>
            <rFont val="Arial"/>
            <family val="2"/>
          </rPr>
          <t xml:space="preserve">SKU tidak ditemukan di sistem. GL 1442301 (CTK) adalah usulan berdasarkan mayoritas prefix IDSS - mohon konfirmasi.</t>
        </r>
      </text>
    </comment>
  </commentList>
</comments>
</file>

<file path=xl/sharedStrings.xml><?xml version="1.0" encoding="utf-8"?>
<sst xmlns="http://schemas.openxmlformats.org/spreadsheetml/2006/main" count="4451" uniqueCount="538">
  <si>
    <t xml:space="preserve">Kode Barang</t>
  </si>
  <si>
    <t xml:space="preserve">Nama Barang</t>
  </si>
  <si>
    <t xml:space="preserve">Jumlah Unit Stock Opname</t>
  </si>
  <si>
    <t xml:space="preserve">Unit Stock Opname</t>
  </si>
  <si>
    <t xml:space="preserve">Minimum Order / Unit</t>
  </si>
  <si>
    <t xml:space="preserve">Jumlah / Unit Serah Terima</t>
  </si>
  <si>
    <t xml:space="preserve">Satuan</t>
  </si>
  <si>
    <t xml:space="preserve">Harga Barang / Satuan (Rp)</t>
  </si>
  <si>
    <t xml:space="preserve">Harga Barang / Unit (Rp)</t>
  </si>
  <si>
    <t xml:space="preserve">Tanggal Masuk</t>
  </si>
  <si>
    <t xml:space="preserve">Tanggal Keluar</t>
  </si>
  <si>
    <t xml:space="preserve">Stock Awal</t>
  </si>
  <si>
    <t xml:space="preserve">Barang Masuk</t>
  </si>
  <si>
    <t xml:space="preserve">Barang Keluar</t>
  </si>
  <si>
    <t xml:space="preserve">Sisa Stock</t>
  </si>
  <si>
    <t xml:space="preserve">Nomor Dokumen</t>
  </si>
  <si>
    <t xml:space="preserve">Nama Cabang/Unit Kerja</t>
  </si>
  <si>
    <t xml:space="preserve">PIC Cabang/Unit Kerja</t>
  </si>
  <si>
    <t xml:space="preserve">Tanggal Kirim</t>
  </si>
  <si>
    <t xml:space="preserve">Petugas Gudang</t>
  </si>
  <si>
    <t xml:space="preserve">Tanggal Barang diterima</t>
  </si>
  <si>
    <t xml:space="preserve">No FPKB</t>
  </si>
  <si>
    <t xml:space="preserve">No BAST</t>
  </si>
  <si>
    <t xml:space="preserve">Awal </t>
  </si>
  <si>
    <t xml:space="preserve">Akhir</t>
  </si>
  <si>
    <t xml:space="preserve">Keterangan</t>
  </si>
  <si>
    <t xml:space="preserve">Status</t>
  </si>
  <si>
    <t xml:space="preserve">Kode GL</t>
  </si>
  <si>
    <t xml:space="preserve">Kategori GL</t>
  </si>
  <si>
    <t xml:space="preserve">Keterangan GL</t>
  </si>
  <si>
    <t xml:space="preserve">Sumber GL</t>
  </si>
  <si>
    <t xml:space="preserve">ATF-004</t>
  </si>
  <si>
    <t xml:space="preserve">Kartu Flazz Persembahanku</t>
  </si>
  <si>
    <t xml:space="preserve">Pcs</t>
  </si>
  <si>
    <t xml:space="preserve">1 Pcs</t>
  </si>
  <si>
    <t xml:space="preserve">ATF</t>
  </si>
  <si>
    <t xml:space="preserve">KARTU FLAZZ BCAS</t>
  </si>
  <si>
    <t xml:space="preserve">Sudah ada (cocok sistem)</t>
  </si>
  <si>
    <t xml:space="preserve">Reject</t>
  </si>
  <si>
    <t xml:space="preserve">ATF-008</t>
  </si>
  <si>
    <t xml:space="preserve">Flazz Edisi Haji</t>
  </si>
  <si>
    <t xml:space="preserve">ATF-010</t>
  </si>
  <si>
    <t xml:space="preserve">Flazz Edisi Masjid Pink</t>
  </si>
  <si>
    <t xml:space="preserve">ATF-011</t>
  </si>
  <si>
    <t xml:space="preserve">Flazz Edisi Tahajud</t>
  </si>
  <si>
    <t xml:space="preserve">ATF-014</t>
  </si>
  <si>
    <t xml:space="preserve">Flazz Green Earth</t>
  </si>
  <si>
    <t xml:space="preserve">ATF-015</t>
  </si>
  <si>
    <t xml:space="preserve">Flazz Logo BSya</t>
  </si>
  <si>
    <t xml:space="preserve">104/FPP/LOG/2026</t>
  </si>
  <si>
    <t xml:space="preserve">KC Surabaya </t>
  </si>
  <si>
    <t xml:space="preserve"> Ikbal </t>
  </si>
  <si>
    <t xml:space="preserve">00102/BAST-ASET/LOG/2026</t>
  </si>
  <si>
    <t xml:space="preserve">DJP</t>
  </si>
  <si>
    <t xml:space="preserve"> Dinar </t>
  </si>
  <si>
    <t xml:space="preserve"> Ikbal  </t>
  </si>
  <si>
    <t xml:space="preserve">00104/BAST-ASET/LOG/2026</t>
  </si>
  <si>
    <t xml:space="preserve">MRK</t>
  </si>
  <si>
    <t xml:space="preserve"> Kheni </t>
  </si>
  <si>
    <t xml:space="preserve">ATF-016</t>
  </si>
  <si>
    <t xml:space="preserve">Flazz BSya Kucing Naik Motor</t>
  </si>
  <si>
    <t xml:space="preserve">ATMS-705</t>
  </si>
  <si>
    <t xml:space="preserve">Laporan Kehilangan Kartu ATM</t>
  </si>
  <si>
    <t xml:space="preserve">Pack</t>
  </si>
  <si>
    <t xml:space="preserve">1 Pack</t>
  </si>
  <si>
    <t xml:space="preserve">Set</t>
  </si>
  <si>
    <t xml:space="preserve">CTK</t>
  </si>
  <si>
    <t xml:space="preserve">BARANG CETAKAN</t>
  </si>
  <si>
    <t xml:space="preserve">Cikini</t>
  </si>
  <si>
    <t xml:space="preserve"> Hermanto </t>
  </si>
  <si>
    <t xml:space="preserve">095/BAST/ASET/LOG/2026</t>
  </si>
  <si>
    <t xml:space="preserve">IDSS-001</t>
  </si>
  <si>
    <t xml:space="preserve">Kartu Spesimen</t>
  </si>
  <si>
    <t xml:space="preserve">Lembar</t>
  </si>
  <si>
    <t xml:space="preserve">076/SPS/LOG/2026</t>
  </si>
  <si>
    <t xml:space="preserve">IDSS-002</t>
  </si>
  <si>
    <t xml:space="preserve">Surat Kuasa</t>
  </si>
  <si>
    <t xml:space="preserve">IDSS-003</t>
  </si>
  <si>
    <t xml:space="preserve">Overlay Tabungan</t>
  </si>
  <si>
    <t xml:space="preserve">113/FPP/LOG/2026</t>
  </si>
  <si>
    <t xml:space="preserve">Ciledug</t>
  </si>
  <si>
    <t xml:space="preserve"> Ferry Wijaya </t>
  </si>
  <si>
    <t xml:space="preserve">136/FPP/LOG/2026</t>
  </si>
  <si>
    <t xml:space="preserve">Cikarang Selatan </t>
  </si>
  <si>
    <t xml:space="preserve"> Harisa Utami </t>
  </si>
  <si>
    <t xml:space="preserve">160/FPP/LOG/2026</t>
  </si>
  <si>
    <t xml:space="preserve">Palembang </t>
  </si>
  <si>
    <t xml:space="preserve"> Ricki Aprianto </t>
  </si>
  <si>
    <t xml:space="preserve">00081/FPKB/LOG/2026</t>
  </si>
  <si>
    <t xml:space="preserve">114/BAST-ASET/LOG/2026</t>
  </si>
  <si>
    <t xml:space="preserve">129/FPP/LOG/2026</t>
  </si>
  <si>
    <t xml:space="preserve">ULS Rivai Palembang </t>
  </si>
  <si>
    <t xml:space="preserve"> Tri Adi Nanda  </t>
  </si>
  <si>
    <t xml:space="preserve">IDSS-004</t>
  </si>
  <si>
    <t xml:space="preserve">Spectroline Tabungan</t>
  </si>
  <si>
    <t xml:space="preserve">161/FPP/LOG/2026</t>
  </si>
  <si>
    <t xml:space="preserve">KC Solo </t>
  </si>
  <si>
    <t xml:space="preserve"> Nadia </t>
  </si>
  <si>
    <t xml:space="preserve">00082/FPKB/LOG/2026</t>
  </si>
  <si>
    <t xml:space="preserve">110/BAST-ASET/LOG/2026</t>
  </si>
  <si>
    <t xml:space="preserve">MCT2606008111425</t>
  </si>
  <si>
    <t xml:space="preserve">Pembebanan</t>
  </si>
  <si>
    <t xml:space="preserve">IDSS-010</t>
  </si>
  <si>
    <t xml:space="preserve">Nota Debet Syariah</t>
  </si>
  <si>
    <t xml:space="preserve">Box</t>
  </si>
  <si>
    <t xml:space="preserve">1 Box</t>
  </si>
  <si>
    <t xml:space="preserve">IDSS-103</t>
  </si>
  <si>
    <t xml:space="preserve">Perubahan Deposito</t>
  </si>
  <si>
    <t xml:space="preserve">108/FPP/LOG/2026</t>
  </si>
  <si>
    <t xml:space="preserve">KC Semarang </t>
  </si>
  <si>
    <t xml:space="preserve"> Bernadhita </t>
  </si>
  <si>
    <t xml:space="preserve">00055/FPKB/LOG/2026</t>
  </si>
  <si>
    <t xml:space="preserve"> 100/BAST-ASET/LOG/2026</t>
  </si>
  <si>
    <t xml:space="preserve">IDSS-104</t>
  </si>
  <si>
    <t xml:space="preserve">Plastik Deposito</t>
  </si>
  <si>
    <t xml:space="preserve">IDSS-105</t>
  </si>
  <si>
    <t xml:space="preserve">Form Data Nasabah BDN Usaha</t>
  </si>
  <si>
    <t xml:space="preserve">IDSS-106</t>
  </si>
  <si>
    <t xml:space="preserve">Form Permohonan Penutupan Rek</t>
  </si>
  <si>
    <t xml:space="preserve">IDSS-112</t>
  </si>
  <si>
    <t xml:space="preserve">Slip Transfer Otomatis</t>
  </si>
  <si>
    <t xml:space="preserve">IDSS-113</t>
  </si>
  <si>
    <t xml:space="preserve">Slip Penarikan</t>
  </si>
  <si>
    <t xml:space="preserve">115/FPP/LOG/2026</t>
  </si>
  <si>
    <t xml:space="preserve">KC Yogyakarta</t>
  </si>
  <si>
    <t xml:space="preserve"> Randy </t>
  </si>
  <si>
    <t xml:space="preserve">074/SPS/LOG/2026</t>
  </si>
  <si>
    <t xml:space="preserve">IDSS-119</t>
  </si>
  <si>
    <t xml:space="preserve">Bukti Setoran Syariah</t>
  </si>
  <si>
    <t xml:space="preserve">116/FPP/LOG/2026</t>
  </si>
  <si>
    <t xml:space="preserve">ULS Kemang Mansion</t>
  </si>
  <si>
    <t xml:space="preserve"> Lia  </t>
  </si>
  <si>
    <t xml:space="preserve">105/FPP/LOG/2026</t>
  </si>
  <si>
    <t xml:space="preserve">KCP Pasuruan </t>
  </si>
  <si>
    <t xml:space="preserve"> Ivan  </t>
  </si>
  <si>
    <t xml:space="preserve">107/FPP/LOG/2026</t>
  </si>
  <si>
    <t xml:space="preserve">ULS Pandaan</t>
  </si>
  <si>
    <t xml:space="preserve"> M Fitra  </t>
  </si>
  <si>
    <t xml:space="preserve">154/FPP/LOG/2026</t>
  </si>
  <si>
    <t xml:space="preserve">Panakukang </t>
  </si>
  <si>
    <t xml:space="preserve"> Dwi Bagus Hastomo </t>
  </si>
  <si>
    <t xml:space="preserve">00078/FPKB/LOG/2026</t>
  </si>
  <si>
    <t xml:space="preserve">111/BAST-ASET/LOG/2026</t>
  </si>
  <si>
    <t xml:space="preserve">419501
412001</t>
  </si>
  <si>
    <t xml:space="preserve">419750
412250</t>
  </si>
  <si>
    <t xml:space="preserve">175/FPP/LOG/2026</t>
  </si>
  <si>
    <t xml:space="preserve">KC Solo</t>
  </si>
  <si>
    <t xml:space="preserve">00096/FPKB/LOG/2026</t>
  </si>
  <si>
    <t xml:space="preserve">119/BAST-ASET/LOG/2026</t>
  </si>
  <si>
    <t xml:space="preserve">IDSS-127</t>
  </si>
  <si>
    <t xml:space="preserve">Syarat dan Ketentuan Mabrur</t>
  </si>
  <si>
    <t xml:space="preserve">016/SPS/LOG/2026</t>
  </si>
  <si>
    <t xml:space="preserve">Logisitik</t>
  </si>
  <si>
    <t xml:space="preserve"> Yuni  </t>
  </si>
  <si>
    <t xml:space="preserve">IDSS-128</t>
  </si>
  <si>
    <t xml:space="preserve">Ketentuan-Ketentuan ATM</t>
  </si>
  <si>
    <t xml:space="preserve">111/FPP/LOG/2026</t>
  </si>
  <si>
    <t xml:space="preserve">ULS Melawai </t>
  </si>
  <si>
    <t xml:space="preserve"> Zaki </t>
  </si>
  <si>
    <t xml:space="preserve">135/FPP/LOG/2026</t>
  </si>
  <si>
    <t xml:space="preserve">Kenari </t>
  </si>
  <si>
    <t xml:space="preserve"> Elga Amanda </t>
  </si>
  <si>
    <t xml:space="preserve">167/FPP/LOG/2026</t>
  </si>
  <si>
    <t xml:space="preserve">KC Jatinegara</t>
  </si>
  <si>
    <t xml:space="preserve"> Eriza </t>
  </si>
  <si>
    <t xml:space="preserve">00087/FPKB/LOG/2026</t>
  </si>
  <si>
    <t xml:space="preserve">116/BAST-ASET/LOG/2026</t>
  </si>
  <si>
    <t xml:space="preserve">IDSS-131</t>
  </si>
  <si>
    <t xml:space="preserve">Syarat dan Ketentuan Layanan Perbankan</t>
  </si>
  <si>
    <t xml:space="preserve">IDSS-135</t>
  </si>
  <si>
    <t xml:space="preserve">Slip Pemindahan Dana Antar Rekening</t>
  </si>
  <si>
    <t xml:space="preserve">IDSS-146</t>
  </si>
  <si>
    <t xml:space="preserve">Form Pembukaan Rek Badan Usaha</t>
  </si>
  <si>
    <t xml:space="preserve">IDSS-156</t>
  </si>
  <si>
    <t xml:space="preserve">Buku Tahapan BCA Syariah</t>
  </si>
  <si>
    <t xml:space="preserve">TAB</t>
  </si>
  <si>
    <t xml:space="preserve">BUKU TABUNGAN</t>
  </si>
  <si>
    <t xml:space="preserve">626801</t>
  </si>
  <si>
    <t xml:space="preserve">626900</t>
  </si>
  <si>
    <t xml:space="preserve">627001</t>
  </si>
  <si>
    <t xml:space="preserve">627200</t>
  </si>
  <si>
    <t xml:space="preserve">626901</t>
  </si>
  <si>
    <t xml:space="preserve">627000</t>
  </si>
  <si>
    <t xml:space="preserve">627201</t>
  </si>
  <si>
    <t xml:space="preserve">627700</t>
  </si>
  <si>
    <t xml:space="preserve">627701</t>
  </si>
  <si>
    <t xml:space="preserve">628200</t>
  </si>
  <si>
    <t xml:space="preserve">628201</t>
  </si>
  <si>
    <t xml:space="preserve">628700</t>
  </si>
  <si>
    <t xml:space="preserve">628701</t>
  </si>
  <si>
    <t xml:space="preserve">629000</t>
  </si>
  <si>
    <t xml:space="preserve">IDSS-157</t>
  </si>
  <si>
    <t xml:space="preserve">Buku Tabungan Simpanan Pelajar</t>
  </si>
  <si>
    <t xml:space="preserve">646201</t>
  </si>
  <si>
    <t xml:space="preserve">646300</t>
  </si>
  <si>
    <t xml:space="preserve">646401</t>
  </si>
  <si>
    <t xml:space="preserve">646600</t>
  </si>
  <si>
    <t xml:space="preserve">Cikini </t>
  </si>
  <si>
    <t xml:space="preserve"> Hemanto </t>
  </si>
  <si>
    <t xml:space="preserve">646301</t>
  </si>
  <si>
    <t xml:space="preserve">646400</t>
  </si>
  <si>
    <t xml:space="preserve"> 114/BAST-ASET/LOG/2026</t>
  </si>
  <si>
    <t xml:space="preserve">646601</t>
  </si>
  <si>
    <t xml:space="preserve">646700</t>
  </si>
  <si>
    <t xml:space="preserve">IDSS-158</t>
  </si>
  <si>
    <t xml:space="preserve">Buku Tabungan Umroh Dewasa</t>
  </si>
  <si>
    <t xml:space="preserve">IDSS-160</t>
  </si>
  <si>
    <t xml:space="preserve">Buku Tabungan Umroh Anak</t>
  </si>
  <si>
    <t xml:space="preserve">IDSS-162</t>
  </si>
  <si>
    <t xml:space="preserve">Bukti Setoran Kliring Syariah</t>
  </si>
  <si>
    <t xml:space="preserve">IDSS-174</t>
  </si>
  <si>
    <t xml:space="preserve">Ban Uang Rp1.000,-</t>
  </si>
  <si>
    <t xml:space="preserve">IDSS-175</t>
  </si>
  <si>
    <t xml:space="preserve">Ban Uang Rp5.000,-</t>
  </si>
  <si>
    <t xml:space="preserve">IDSS-176</t>
  </si>
  <si>
    <t xml:space="preserve">Ban Uang Rp10.000,-</t>
  </si>
  <si>
    <t xml:space="preserve">IDSS-177</t>
  </si>
  <si>
    <t xml:space="preserve">Ban Uang Rp20.000,-</t>
  </si>
  <si>
    <t xml:space="preserve">IDSS-178</t>
  </si>
  <si>
    <t xml:space="preserve">Ban Uang Rp50.000,-</t>
  </si>
  <si>
    <t xml:space="preserve">100/FPP/LOG/2026</t>
  </si>
  <si>
    <t xml:space="preserve">KC Banda Aceh </t>
  </si>
  <si>
    <t xml:space="preserve"> Freedy </t>
  </si>
  <si>
    <t xml:space="preserve">085/SPS/LOG/2026</t>
  </si>
  <si>
    <t xml:space="preserve">IDSS-179</t>
  </si>
  <si>
    <t xml:space="preserve">Ban Uang Rp100.000,-</t>
  </si>
  <si>
    <t xml:space="preserve">IDSS-180</t>
  </si>
  <si>
    <t xml:space="preserve">Ban Uang Rp2.000,-</t>
  </si>
  <si>
    <t xml:space="preserve">IDSS-187</t>
  </si>
  <si>
    <t xml:space="preserve">Form Pembukaan Rek Deposito</t>
  </si>
  <si>
    <t xml:space="preserve">IDSS-201</t>
  </si>
  <si>
    <t xml:space="preserve">Ketentuan-Ketentuan Tahapan</t>
  </si>
  <si>
    <t xml:space="preserve">Ketentuan Tahapan IDSS201/2024</t>
  </si>
  <si>
    <t xml:space="preserve">IDSS-202</t>
  </si>
  <si>
    <t xml:space="preserve">Nota Debet </t>
  </si>
  <si>
    <t xml:space="preserve">172/FPP/LOG/2026</t>
  </si>
  <si>
    <t xml:space="preserve">KC Bandung </t>
  </si>
  <si>
    <t xml:space="preserve"> Nada  </t>
  </si>
  <si>
    <t xml:space="preserve">00091/FPKB/LOG/2026</t>
  </si>
  <si>
    <t xml:space="preserve">117/BAST-ASET/LOG/2026</t>
  </si>
  <si>
    <t xml:space="preserve">IDSS-204</t>
  </si>
  <si>
    <t xml:space="preserve">Ketentuan-Ketentuan Giro</t>
  </si>
  <si>
    <t xml:space="preserve">IDSS-207</t>
  </si>
  <si>
    <t xml:space="preserve">Form Data Nasabah Perorangan</t>
  </si>
  <si>
    <t xml:space="preserve">Formulir Data Nasabah Perorangan</t>
  </si>
  <si>
    <t xml:space="preserve">IDSS-208</t>
  </si>
  <si>
    <t xml:space="preserve">Form Pembukaan Rekening Perorangan</t>
  </si>
  <si>
    <t xml:space="preserve"> ULS Kemang Mansion </t>
  </si>
  <si>
    <t xml:space="preserve"> ikbal </t>
  </si>
  <si>
    <t xml:space="preserve">106/FPP/LOG/2026</t>
  </si>
  <si>
    <t xml:space="preserve">ULS Margonda  Depok </t>
  </si>
  <si>
    <t xml:space="preserve"> 116/BAST-ASET/LOG/2026</t>
  </si>
  <si>
    <t xml:space="preserve">IDSS-209</t>
  </si>
  <si>
    <t xml:space="preserve">Formulir Fasilitas</t>
  </si>
  <si>
    <t xml:space="preserve">IDSS-210</t>
  </si>
  <si>
    <t xml:space="preserve">Form Aplikasi Pembukaan Tahapan</t>
  </si>
  <si>
    <t xml:space="preserve">IDSS-210A</t>
  </si>
  <si>
    <t xml:space="preserve">Riplay Trib</t>
  </si>
  <si>
    <t xml:space="preserve">IDSS-211</t>
  </si>
  <si>
    <t xml:space="preserve">Ketentuan Rahapan Rencana IB</t>
  </si>
  <si>
    <t xml:space="preserve">IDSS-212</t>
  </si>
  <si>
    <t xml:space="preserve">Tanda Kepesertaan Tahapan Rencana</t>
  </si>
  <si>
    <t xml:space="preserve">IDSS-213</t>
  </si>
  <si>
    <t xml:space="preserve">Plastik Tahapan Rencana IB</t>
  </si>
  <si>
    <t xml:space="preserve">IDSS-214</t>
  </si>
  <si>
    <t xml:space="preserve">Syarat dan Ketentuan Simpel</t>
  </si>
  <si>
    <t xml:space="preserve">Buku</t>
  </si>
  <si>
    <t xml:space="preserve">1 Buku</t>
  </si>
  <si>
    <t xml:space="preserve">IDSS-215</t>
  </si>
  <si>
    <t xml:space="preserve">Form Pembukaan Rekening Simpel</t>
  </si>
  <si>
    <t xml:space="preserve">IDSS-301</t>
  </si>
  <si>
    <t xml:space="preserve">Nota Kredit</t>
  </si>
  <si>
    <t xml:space="preserve">IDSS-302</t>
  </si>
  <si>
    <t xml:space="preserve">Ketentuan Pembiayaan Murabahah</t>
  </si>
  <si>
    <t xml:space="preserve">1</t>
  </si>
  <si>
    <t xml:space="preserve">PERLU KONFIRMASI (usulan CTK)</t>
  </si>
  <si>
    <t xml:space="preserve">IDSS-401</t>
  </si>
  <si>
    <t xml:space="preserve">Transaksi Dalam Penyelesaian</t>
  </si>
  <si>
    <t xml:space="preserve">IDSS-501</t>
  </si>
  <si>
    <t xml:space="preserve">BPWD-Kliring Penyerahan Syariah</t>
  </si>
  <si>
    <t xml:space="preserve">47451</t>
  </si>
  <si>
    <t xml:space="preserve">47500</t>
  </si>
  <si>
    <t xml:space="preserve">47451-47500</t>
  </si>
  <si>
    <t xml:space="preserve">IDSS-504</t>
  </si>
  <si>
    <t xml:space="preserve">Kartu Batch Warkat Debet Penyerahan</t>
  </si>
  <si>
    <t xml:space="preserve">61201</t>
  </si>
  <si>
    <t xml:space="preserve">62300</t>
  </si>
  <si>
    <t xml:space="preserve">61201-62300</t>
  </si>
  <si>
    <t xml:space="preserve">IDSS-505</t>
  </si>
  <si>
    <t xml:space="preserve">Kartu Batch Warkat Debet Pengembalian</t>
  </si>
  <si>
    <t xml:space="preserve">5401</t>
  </si>
  <si>
    <t xml:space="preserve">5500</t>
  </si>
  <si>
    <t xml:space="preserve">5401-5500</t>
  </si>
  <si>
    <t xml:space="preserve">IDSS-506</t>
  </si>
  <si>
    <t xml:space="preserve">BPWD-Kliring Pengembalian</t>
  </si>
  <si>
    <t xml:space="preserve">19251</t>
  </si>
  <si>
    <t xml:space="preserve">19300</t>
  </si>
  <si>
    <t xml:space="preserve">19251-19300</t>
  </si>
  <si>
    <t xml:space="preserve">IDSS-507</t>
  </si>
  <si>
    <t xml:space="preserve">Buku Cheque</t>
  </si>
  <si>
    <t xml:space="preserve">CEK</t>
  </si>
  <si>
    <t xml:space="preserve">BUKU CEK &amp; BILYET GIRO</t>
  </si>
  <si>
    <t xml:space="preserve">353751-354250</t>
  </si>
  <si>
    <t xml:space="preserve">354251</t>
  </si>
  <si>
    <t xml:space="preserve">354750</t>
  </si>
  <si>
    <t xml:space="preserve">IDSS-508</t>
  </si>
  <si>
    <t xml:space="preserve">Buku Bilyet Giro (Harga satuan Rp3.467,50,-)</t>
  </si>
  <si>
    <t xml:space="preserve">Buku Bilyet Giro (Harga satuan Rp10.467,50,-)</t>
  </si>
  <si>
    <t xml:space="preserve">Buku Bilyet Giro (Harga satuan Rp11.043,40,-)</t>
  </si>
  <si>
    <t xml:space="preserve">IDSS-601</t>
  </si>
  <si>
    <t xml:space="preserve">Buku Bilyet Deposito</t>
  </si>
  <si>
    <t xml:space="preserve">DEP</t>
  </si>
  <si>
    <t xml:space="preserve">BILYET DEPOSITO</t>
  </si>
  <si>
    <t xml:space="preserve">IDSS-701</t>
  </si>
  <si>
    <t xml:space="preserve">Formulir Stop Bayar</t>
  </si>
  <si>
    <t xml:space="preserve">IDSS-702</t>
  </si>
  <si>
    <t xml:space="preserve">Formulir Pemblokiran</t>
  </si>
  <si>
    <t xml:space="preserve">IDSS-712</t>
  </si>
  <si>
    <t xml:space="preserve">Rekening Koran BCA Syariah</t>
  </si>
  <si>
    <t xml:space="preserve"> 4 </t>
  </si>
  <si>
    <t xml:space="preserve">150/FPP/LOG/2026</t>
  </si>
  <si>
    <t xml:space="preserve">DSO</t>
  </si>
  <si>
    <t xml:space="preserve"> Jiehan  </t>
  </si>
  <si>
    <t xml:space="preserve"> 00089/FPKB/LOG/2026</t>
  </si>
  <si>
    <t xml:space="preserve">IDSS-806</t>
  </si>
  <si>
    <t xml:space="preserve">Perubahan Data</t>
  </si>
  <si>
    <t xml:space="preserve">Perubahan Data IDSS 806/2014</t>
  </si>
  <si>
    <t xml:space="preserve">IDSS-902</t>
  </si>
  <si>
    <t xml:space="preserve">Slip Tunai Khasanah</t>
  </si>
  <si>
    <t xml:space="preserve">IDSS-905</t>
  </si>
  <si>
    <t xml:space="preserve">Brosur Tahapan Rencana</t>
  </si>
  <si>
    <t xml:space="preserve">IDSS-915</t>
  </si>
  <si>
    <t xml:space="preserve">Brosur Umroh</t>
  </si>
  <si>
    <t xml:space="preserve">IDSS-928</t>
  </si>
  <si>
    <t xml:space="preserve">Brosur Pembukaan Rekening Online</t>
  </si>
  <si>
    <t xml:space="preserve">IDSS-929</t>
  </si>
  <si>
    <t xml:space="preserve">Brosur Pemol Cash Back &amp; Referal</t>
  </si>
  <si>
    <t xml:space="preserve">IDSS-930</t>
  </si>
  <si>
    <t xml:space="preserve">Brosur Cardless</t>
  </si>
  <si>
    <t xml:space="preserve">ILSS-101</t>
  </si>
  <si>
    <t xml:space="preserve">Plastik Emas</t>
  </si>
  <si>
    <t xml:space="preserve">ILSS-108</t>
  </si>
  <si>
    <t xml:space="preserve">Brosur Emas</t>
  </si>
  <si>
    <t xml:space="preserve">ILSS-111</t>
  </si>
  <si>
    <t xml:space="preserve">Formulir Permohonan Pembiayaan</t>
  </si>
  <si>
    <t xml:space="preserve">ILSS-301</t>
  </si>
  <si>
    <t xml:space="preserve">Surat Permohonan Pembiayaan</t>
  </si>
  <si>
    <t xml:space="preserve">ITSS-101</t>
  </si>
  <si>
    <t xml:space="preserve">Transaksi Kiriman Uang </t>
  </si>
  <si>
    <t xml:space="preserve">ITSS-107</t>
  </si>
  <si>
    <t xml:space="preserve">Form Tanda Terima Inkaso</t>
  </si>
  <si>
    <t xml:space="preserve">PRO-001</t>
  </si>
  <si>
    <t xml:space="preserve">Ballpoint BCAS</t>
  </si>
  <si>
    <t xml:space="preserve">PRO</t>
  </si>
  <si>
    <t xml:space="preserve">BARANG PROMOSI</t>
  </si>
  <si>
    <t xml:space="preserve">PRO-014</t>
  </si>
  <si>
    <t xml:space="preserve">Kipas Emas</t>
  </si>
  <si>
    <t xml:space="preserve">PRO-033</t>
  </si>
  <si>
    <t xml:space="preserve">Gesper Koper</t>
  </si>
  <si>
    <t xml:space="preserve">153/FPP/LOG/2026</t>
  </si>
  <si>
    <t xml:space="preserve">PRO-036</t>
  </si>
  <si>
    <t xml:space="preserve">Food Saver</t>
  </si>
  <si>
    <t xml:space="preserve">PRO-038</t>
  </si>
  <si>
    <t xml:space="preserve">Flasdisk 8 TB BCAS</t>
  </si>
  <si>
    <t xml:space="preserve">PRO-079</t>
  </si>
  <si>
    <t xml:space="preserve">Tripot Banner </t>
  </si>
  <si>
    <t xml:space="preserve">PRO-113</t>
  </si>
  <si>
    <t xml:space="preserve">Pouch Tenun</t>
  </si>
  <si>
    <t xml:space="preserve">PRO-114</t>
  </si>
  <si>
    <t xml:space="preserve">Tas Belanja Lipat</t>
  </si>
  <si>
    <t xml:space="preserve">PRO-118</t>
  </si>
  <si>
    <t xml:space="preserve">Pouch Tenun Mini</t>
  </si>
  <si>
    <t xml:space="preserve">190/FPP/LOG/2026</t>
  </si>
  <si>
    <t xml:space="preserve">BRK</t>
  </si>
  <si>
    <t xml:space="preserve"> Fadilla </t>
  </si>
  <si>
    <t xml:space="preserve">PRO-124</t>
  </si>
  <si>
    <t xml:space="preserve">Goodie Bag Reguler</t>
  </si>
  <si>
    <t xml:space="preserve">PRO-125</t>
  </si>
  <si>
    <t xml:space="preserve">Goodie Bag Small/Mini</t>
  </si>
  <si>
    <t xml:space="preserve">PRO-130</t>
  </si>
  <si>
    <t xml:space="preserve">Name Card Holder</t>
  </si>
  <si>
    <t xml:space="preserve">PRO-132</t>
  </si>
  <si>
    <t xml:space="preserve">Tas Serut Parasut</t>
  </si>
  <si>
    <t xml:space="preserve">PRO-137</t>
  </si>
  <si>
    <t xml:space="preserve">Mukena Travel</t>
  </si>
  <si>
    <t xml:space="preserve">PRO-140</t>
  </si>
  <si>
    <t xml:space="preserve">Mouse Pad</t>
  </si>
  <si>
    <t xml:space="preserve">138/FPP/LOG/2026</t>
  </si>
  <si>
    <t xml:space="preserve">ADP</t>
  </si>
  <si>
    <t xml:space="preserve"> Rina </t>
  </si>
  <si>
    <t xml:space="preserve">PRO-141</t>
  </si>
  <si>
    <t xml:space="preserve">Bantal Leher Bsya</t>
  </si>
  <si>
    <t xml:space="preserve">PRO-143</t>
  </si>
  <si>
    <t xml:space="preserve">Sejadah Motif Hitam (Sajadah Besar)</t>
  </si>
  <si>
    <t xml:space="preserve">Sejadah Motif Coklat (Sajadah Besar)</t>
  </si>
  <si>
    <t xml:space="preserve">Sejadah Motif Kream (Sajadah Besar)</t>
  </si>
  <si>
    <t xml:space="preserve">PRO-144</t>
  </si>
  <si>
    <t xml:space="preserve">Boneka Capit Karakter</t>
  </si>
  <si>
    <t xml:space="preserve">SDBS-104</t>
  </si>
  <si>
    <t xml:space="preserve">Formulir Permohonan Menyewa</t>
  </si>
  <si>
    <t xml:space="preserve">SDBS-201</t>
  </si>
  <si>
    <t xml:space="preserve">Kuitansi Pembayaran</t>
  </si>
  <si>
    <t xml:space="preserve">SDBS-706</t>
  </si>
  <si>
    <t xml:space="preserve">Surat Kuasa SDB</t>
  </si>
  <si>
    <t xml:space="preserve">SDBS-802</t>
  </si>
  <si>
    <t xml:space="preserve">Kartu Data Penyewa</t>
  </si>
  <si>
    <t xml:space="preserve">SDBS-906</t>
  </si>
  <si>
    <t xml:space="preserve">Kartu Contoh TTD Penyewa</t>
  </si>
  <si>
    <t xml:space="preserve">UMMS-120</t>
  </si>
  <si>
    <t xml:space="preserve">Formulir Keluhan</t>
  </si>
  <si>
    <t xml:space="preserve">UMMS-205A</t>
  </si>
  <si>
    <t xml:space="preserve">Prep Nota Debet Syariah</t>
  </si>
  <si>
    <t xml:space="preserve">14001-14100</t>
  </si>
  <si>
    <t xml:space="preserve">UMMS-401</t>
  </si>
  <si>
    <t xml:space="preserve">Slip Pembukuan Debet</t>
  </si>
  <si>
    <t xml:space="preserve">UMMS-501</t>
  </si>
  <si>
    <t xml:space="preserve">Slip Pembukuan Kredit</t>
  </si>
  <si>
    <t xml:space="preserve">UMMS-701</t>
  </si>
  <si>
    <t xml:space="preserve">Surat Kuasa Pendebetan Rekening</t>
  </si>
  <si>
    <t xml:space="preserve">UMMS-702</t>
  </si>
  <si>
    <t xml:space="preserve">Formulir Auto Debet</t>
  </si>
  <si>
    <t xml:space="preserve">UMMS-747</t>
  </si>
  <si>
    <t xml:space="preserve">Kop Surat</t>
  </si>
  <si>
    <t xml:space="preserve">Rim</t>
  </si>
  <si>
    <t xml:space="preserve">1 Rim</t>
  </si>
  <si>
    <t xml:space="preserve">UMMS-748</t>
  </si>
  <si>
    <t xml:space="preserve">Amplop Tanpa Kaca </t>
  </si>
  <si>
    <t xml:space="preserve">UMMS-754</t>
  </si>
  <si>
    <t xml:space="preserve">Amplop Kaca Corporate Image</t>
  </si>
  <si>
    <t xml:space="preserve">UMMS-903</t>
  </si>
  <si>
    <t xml:space="preserve">Slip Likuidasi</t>
  </si>
  <si>
    <t xml:space="preserve">UMMS-914</t>
  </si>
  <si>
    <t xml:space="preserve">KTPN</t>
  </si>
  <si>
    <t xml:space="preserve">UMMS-915</t>
  </si>
  <si>
    <t xml:space="preserve">Surat Pengantar</t>
  </si>
  <si>
    <t xml:space="preserve">Logistik </t>
  </si>
  <si>
    <t xml:space="preserve"> Rully </t>
  </si>
  <si>
    <t xml:space="preserve"> Yuni </t>
  </si>
  <si>
    <t xml:space="preserve">Kategori</t>
  </si>
  <si>
    <t xml:space="preserve">GL</t>
  </si>
  <si>
    <t xml:space="preserve">Ada di Buku Besar</t>
  </si>
  <si>
    <t xml:space="preserve">Tingkat Harga ke-</t>
  </si>
  <si>
    <t xml:space="preserve">Jml Tingkat Aktif</t>
  </si>
  <si>
    <t xml:space="preserve">Qty Stock (satuan kecil)</t>
  </si>
  <si>
    <t xml:space="preserve">Harga Satuan (Rp)</t>
  </si>
  <si>
    <t xml:space="preserve">Nilai Stok (Rp)</t>
  </si>
  <si>
    <t xml:space="preserve">KARTU</t>
  </si>
  <si>
    <t xml:space="preserve">Ya</t>
  </si>
  <si>
    <t xml:space="preserve">FLAZZ</t>
  </si>
  <si>
    <t xml:space="preserve">BUKU</t>
  </si>
  <si>
    <t xml:space="preserve">LAPORAN</t>
  </si>
  <si>
    <t xml:space="preserve">SURAT</t>
  </si>
  <si>
    <t xml:space="preserve">NOTA</t>
  </si>
  <si>
    <t xml:space="preserve">PERUBAHAN</t>
  </si>
  <si>
    <t xml:space="preserve">FORM.DATA</t>
  </si>
  <si>
    <t xml:space="preserve">PERMOHONAN</t>
  </si>
  <si>
    <t xml:space="preserve">SLIP</t>
  </si>
  <si>
    <t xml:space="preserve">BUKTI</t>
  </si>
  <si>
    <t xml:space="preserve">KETENTUAN-KETENTUAN</t>
  </si>
  <si>
    <t xml:space="preserve">SYARAT</t>
  </si>
  <si>
    <t xml:space="preserve">FORM.PEMBUKAAN</t>
  </si>
  <si>
    <t xml:space="preserve">BAN</t>
  </si>
  <si>
    <t xml:space="preserve">FORMULIR</t>
  </si>
  <si>
    <t xml:space="preserve">FORM.APLIKASI</t>
  </si>
  <si>
    <t xml:space="preserve">RIPLAY</t>
  </si>
  <si>
    <t xml:space="preserve">KETENTUAN</t>
  </si>
  <si>
    <t xml:space="preserve">PLASTIK</t>
  </si>
  <si>
    <t xml:space="preserve">FORM.</t>
  </si>
  <si>
    <t xml:space="preserve">TRANSAKSI</t>
  </si>
  <si>
    <t xml:space="preserve">BPWD-KLIRING</t>
  </si>
  <si>
    <t xml:space="preserve">IDSS-509</t>
  </si>
  <si>
    <t xml:space="preserve">Tidak</t>
  </si>
  <si>
    <t xml:space="preserve">REKENING</t>
  </si>
  <si>
    <t xml:space="preserve">BROSUR</t>
  </si>
  <si>
    <t xml:space="preserve">IDSS-911</t>
  </si>
  <si>
    <t xml:space="preserve">FORM.TANDA</t>
  </si>
  <si>
    <t xml:space="preserve">KUITANSI</t>
  </si>
  <si>
    <t xml:space="preserve">SDBS-705-NJ</t>
  </si>
  <si>
    <t xml:space="preserve">PERJANJIAN</t>
  </si>
  <si>
    <t xml:space="preserve">PREP.NOTA</t>
  </si>
  <si>
    <t xml:space="preserve">KOP</t>
  </si>
  <si>
    <t xml:space="preserve">AMPLOP</t>
  </si>
  <si>
    <t xml:space="preserve">BILYET</t>
  </si>
  <si>
    <t xml:space="preserve">LL2</t>
  </si>
  <si>
    <t xml:space="preserve">BRG-005</t>
  </si>
  <si>
    <t xml:space="preserve">ACRYLIC</t>
  </si>
  <si>
    <t xml:space="preserve">BRG-006</t>
  </si>
  <si>
    <t xml:space="preserve">BRG-009</t>
  </si>
  <si>
    <t xml:space="preserve">KABEL</t>
  </si>
  <si>
    <t xml:space="preserve">BRG-100</t>
  </si>
  <si>
    <t xml:space="preserve">WEBCAM</t>
  </si>
  <si>
    <t xml:space="preserve">BRG-101</t>
  </si>
  <si>
    <t xml:space="preserve">HEADSET</t>
  </si>
  <si>
    <t xml:space="preserve">BRG-103</t>
  </si>
  <si>
    <t xml:space="preserve">JET</t>
  </si>
  <si>
    <t xml:space="preserve">BALLPOINT</t>
  </si>
  <si>
    <t xml:space="preserve">PRO-004</t>
  </si>
  <si>
    <t xml:space="preserve">GOODY</t>
  </si>
  <si>
    <t xml:space="preserve">KIPAS</t>
  </si>
  <si>
    <t xml:space="preserve">LUGGAGE</t>
  </si>
  <si>
    <t xml:space="preserve">FOOD</t>
  </si>
  <si>
    <t xml:space="preserve">FLASDISK</t>
  </si>
  <si>
    <t xml:space="preserve">PRO-044</t>
  </si>
  <si>
    <t xml:space="preserve">BOTOL</t>
  </si>
  <si>
    <t xml:space="preserve">TRIPOD</t>
  </si>
  <si>
    <t xml:space="preserve">POUCH</t>
  </si>
  <si>
    <t xml:space="preserve">TAS</t>
  </si>
  <si>
    <t xml:space="preserve">PRO-115</t>
  </si>
  <si>
    <t xml:space="preserve">PRO-121</t>
  </si>
  <si>
    <t xml:space="preserve">TUMBLER</t>
  </si>
  <si>
    <t xml:space="preserve">PRO-123</t>
  </si>
  <si>
    <t xml:space="preserve">GOODYBAG</t>
  </si>
  <si>
    <t xml:space="preserve">NAMECARD</t>
  </si>
  <si>
    <t xml:space="preserve">PRO-133</t>
  </si>
  <si>
    <t xml:space="preserve">KOTAK</t>
  </si>
  <si>
    <t xml:space="preserve">MUKENA</t>
  </si>
  <si>
    <t xml:space="preserve">PRO-138</t>
  </si>
  <si>
    <t xml:space="preserve">PRO-139</t>
  </si>
  <si>
    <t xml:space="preserve">MOUSEPAD</t>
  </si>
  <si>
    <t xml:space="preserve">BANTAL</t>
  </si>
  <si>
    <t xml:space="preserve">PRO-142</t>
  </si>
  <si>
    <t xml:space="preserve">TABUNGAN</t>
  </si>
  <si>
    <t xml:space="preserve">TOTAL</t>
  </si>
  <si>
    <t xml:space="preserve">Ringkasan Nilai Stok Aktif per Kode GL (basis: snapshot sistem)</t>
  </si>
  <si>
    <t xml:space="preserve">Jml SKU ber-stok</t>
  </si>
  <si>
    <t xml:space="preserve">ATK</t>
  </si>
  <si>
    <t xml:space="preserve">ALAT TULIS KANTOR</t>
  </si>
  <si>
    <t xml:space="preserve">PERSEDIAAN BARANG LAINNYA</t>
  </si>
  <si>
    <t xml:space="preserve">MTR</t>
  </si>
  <si>
    <t xml:space="preserve">MATERAI - PERANGKO</t>
  </si>
  <si>
    <t xml:space="preserve">CATATAN:</t>
  </si>
  <si>
    <t xml:space="preserve">1. Sheet Buku_Besar = data manual kamu (349 baris, apa adanya) + 4 kolom baru: Kode GL (dilengkapi), Kategori GL, Keterangan GL, Sumber GL.</t>
  </si>
  <si>
    <t xml:space="preserve">2. Sel KUNING = perlu konfirmasi manual: IDSS-302 &amp; IDSS-505 (SKU tidak ada di sistem, GL diusulkan CTK/1442301) dan 1 sel tanggal IDSS-712 (' 4 ').</t>
  </si>
  <si>
    <t xml:space="preserve">3. Sheet Harga_FIFO_Stok_Aktif = 133 baris harga dengan stok &gt; 0 dari sistem (118 SKU). Baris BIRU = SKU dengan lebih dari 1 tingkat harga aktif (multi-batch FIFO).</t>
  </si>
  <si>
    <t xml:space="preserve">4. Qty di sheet FIFO memakai SATUAN KECIL sistem (lembar/set/pcs), sedangkan stock opname Buku Besar memakai satuan besar (pack/box) - jangan dibandingkan langsung tanpa konversi.</t>
  </si>
  <si>
    <t xml:space="preserve">5. Snapshot sistem berhenti di awal Juli 2026; mutasi setelahnya hanya ada di Buku Besar. 18 SKU ber-stok di sistem tidak muncul di Buku Besar (kolom 'Ada di Buku Besar' = Tidak) - kemungkinan belum dipindahkan.</t>
  </si>
  <si>
    <t xml:space="preserve">6. Tiga tanggal tanpa tahun (9-Jul, 2-Jul, 14-Jul) dilengkapi menjadi 2026 sesuai konteks.</t>
  </si>
  <si>
    <t xml:space="preserve">Sumber: Buku_Besar.csv (manual, terupdate) + Persediaan_Gabungan_GL_Qty.xlsx (sistem lama, snapshot awal Juli 2026). Disusun 20 Jul 2026.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</si>
</sst>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#,##0"/>
    <numFmt numFmtId="166" formatCode="#,##0.00"/>
    <numFmt numFmtId="167" formatCode="dd\-mmm\-yy"/>
    <numFmt numFmtId="168" formatCode="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Arial"/>
      <family val="2"/>
    </font>
    <font>
      <b val="true"/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FFFF00"/>
        <bgColor rgb="FFFFFF00"/>
      </patternFill>
    </fill>
    <fill>
      <patternFill patternType="solid">
        <fgColor rgb="FFDDEBF7"/>
        <bgColor rgb="FFCC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5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F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E35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32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2"/>
    <col collapsed="false" customWidth="true" hidden="false" outlineLevel="0" max="6" min="6" style="0" width="10"/>
    <col collapsed="false" customWidth="true" hidden="false" outlineLevel="0" max="7" min="7" style="0" width="8"/>
    <col collapsed="false" customWidth="true" hidden="false" outlineLevel="0" max="9" min="8" style="0" width="13"/>
    <col collapsed="false" customWidth="true" hidden="false" outlineLevel="0" max="11" min="10" style="0" width="11"/>
    <col collapsed="false" customWidth="true" hidden="false" outlineLevel="0" max="15" min="12" style="0" width="10"/>
    <col collapsed="false" customWidth="true" hidden="false" outlineLevel="0" max="16" min="16" style="0" width="17"/>
    <col collapsed="false" customWidth="true" hidden="false" outlineLevel="0" max="17" min="17" style="0" width="20"/>
    <col collapsed="false" customWidth="true" hidden="false" outlineLevel="0" max="18" min="18" style="0" width="18"/>
    <col collapsed="false" customWidth="true" hidden="false" outlineLevel="0" max="19" min="19" style="0" width="11"/>
    <col collapsed="false" customWidth="true" hidden="false" outlineLevel="0" max="21" min="20" style="0" width="13"/>
    <col collapsed="false" customWidth="true" hidden="false" outlineLevel="0" max="23" min="22" style="0" width="9"/>
    <col collapsed="false" customWidth="true" hidden="false" outlineLevel="0" max="25" min="24" style="0" width="8"/>
    <col collapsed="false" customWidth="true" hidden="false" outlineLevel="0" max="26" min="26" style="0" width="22"/>
    <col collapsed="false" customWidth="true" hidden="false" outlineLevel="0" max="27" min="27" style="0" width="8"/>
    <col collapsed="false" customWidth="true" hidden="false" outlineLevel="0" max="28" min="28" style="0" width="10"/>
    <col collapsed="false" customWidth="true" hidden="false" outlineLevel="0" max="29" min="29" style="0" width="11"/>
    <col collapsed="false" customWidth="true" hidden="false" outlineLevel="0" max="31" min="30" style="0" width="26"/>
  </cols>
  <sheetData>
    <row r="1" customFormat="false" ht="35.0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customFormat="false" ht="15" hidden="false" customHeight="false" outlineLevel="0" collapsed="false">
      <c r="A2" s="2" t="s">
        <v>31</v>
      </c>
      <c r="B2" s="2" t="s">
        <v>32</v>
      </c>
      <c r="C2" s="3" t="n">
        <v>403</v>
      </c>
      <c r="D2" s="2" t="s">
        <v>33</v>
      </c>
      <c r="E2" s="2" t="s">
        <v>34</v>
      </c>
      <c r="F2" s="3" t="n">
        <v>1</v>
      </c>
      <c r="G2" s="2" t="s">
        <v>33</v>
      </c>
      <c r="H2" s="4" t="n">
        <v>23000</v>
      </c>
      <c r="I2" s="4" t="n">
        <v>23000</v>
      </c>
      <c r="J2" s="5" t="n">
        <v>46185</v>
      </c>
      <c r="K2" s="2"/>
      <c r="L2" s="3" t="n">
        <v>403</v>
      </c>
      <c r="M2" s="3"/>
      <c r="N2" s="3"/>
      <c r="O2" s="3" t="n">
        <v>403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3" t="n">
        <v>1442305</v>
      </c>
      <c r="AC2" s="2" t="s">
        <v>35</v>
      </c>
      <c r="AD2" s="2" t="s">
        <v>36</v>
      </c>
      <c r="AE2" s="2" t="s">
        <v>37</v>
      </c>
    </row>
    <row r="3" customFormat="false" ht="15" hidden="false" customHeight="false" outlineLevel="0" collapsed="false">
      <c r="A3" s="2" t="s">
        <v>31</v>
      </c>
      <c r="B3" s="2" t="s">
        <v>32</v>
      </c>
      <c r="C3" s="3" t="n">
        <v>403</v>
      </c>
      <c r="D3" s="2" t="s">
        <v>33</v>
      </c>
      <c r="E3" s="2" t="s">
        <v>34</v>
      </c>
      <c r="F3" s="3" t="n">
        <v>1</v>
      </c>
      <c r="G3" s="2" t="s">
        <v>33</v>
      </c>
      <c r="H3" s="4" t="n">
        <v>23000</v>
      </c>
      <c r="I3" s="4" t="n">
        <v>23000</v>
      </c>
      <c r="J3" s="5" t="n">
        <v>46185</v>
      </c>
      <c r="K3" s="2"/>
      <c r="L3" s="3"/>
      <c r="M3" s="3" t="n">
        <v>1</v>
      </c>
      <c r="N3" s="3"/>
      <c r="O3" s="3" t="n">
        <v>404</v>
      </c>
      <c r="P3" s="2"/>
      <c r="Q3" s="2"/>
      <c r="R3" s="2"/>
      <c r="S3" s="2"/>
      <c r="T3" s="2"/>
      <c r="U3" s="2"/>
      <c r="V3" s="2"/>
      <c r="W3" s="2"/>
      <c r="X3" s="2"/>
      <c r="Y3" s="2"/>
      <c r="Z3" s="2" t="s">
        <v>38</v>
      </c>
      <c r="AA3" s="2"/>
      <c r="AB3" s="3" t="n">
        <v>1442305</v>
      </c>
      <c r="AC3" s="2" t="s">
        <v>35</v>
      </c>
      <c r="AD3" s="2" t="s">
        <v>36</v>
      </c>
      <c r="AE3" s="2" t="s">
        <v>37</v>
      </c>
    </row>
    <row r="4" customFormat="false" ht="15" hidden="false" customHeight="false" outlineLevel="0" collapsed="false">
      <c r="A4" s="2" t="s">
        <v>39</v>
      </c>
      <c r="B4" s="2" t="s">
        <v>40</v>
      </c>
      <c r="C4" s="3" t="n">
        <v>1</v>
      </c>
      <c r="D4" s="2" t="s">
        <v>33</v>
      </c>
      <c r="E4" s="2" t="s">
        <v>34</v>
      </c>
      <c r="F4" s="3" t="n">
        <v>1</v>
      </c>
      <c r="G4" s="2" t="s">
        <v>33</v>
      </c>
      <c r="H4" s="4" t="n">
        <v>23000</v>
      </c>
      <c r="I4" s="4" t="n">
        <v>23000</v>
      </c>
      <c r="J4" s="5" t="n">
        <v>46185</v>
      </c>
      <c r="K4" s="2"/>
      <c r="L4" s="3" t="n">
        <v>1</v>
      </c>
      <c r="M4" s="3"/>
      <c r="N4" s="3"/>
      <c r="O4" s="3" t="n">
        <v>1</v>
      </c>
      <c r="P4" s="2"/>
      <c r="Q4" s="2"/>
      <c r="R4" s="2"/>
      <c r="S4" s="2"/>
      <c r="T4" s="2"/>
      <c r="U4" s="2"/>
      <c r="V4" s="2"/>
      <c r="W4" s="2"/>
      <c r="X4" s="2"/>
      <c r="Y4" s="2"/>
      <c r="Z4" s="2" t="s">
        <v>38</v>
      </c>
      <c r="AA4" s="2"/>
      <c r="AB4" s="3" t="n">
        <v>1442305</v>
      </c>
      <c r="AC4" s="2" t="s">
        <v>35</v>
      </c>
      <c r="AD4" s="2" t="s">
        <v>36</v>
      </c>
      <c r="AE4" s="2" t="s">
        <v>37</v>
      </c>
    </row>
    <row r="5" customFormat="false" ht="15" hidden="false" customHeight="false" outlineLevel="0" collapsed="false">
      <c r="A5" s="2" t="s">
        <v>41</v>
      </c>
      <c r="B5" s="2" t="s">
        <v>42</v>
      </c>
      <c r="C5" s="3" t="n">
        <v>4</v>
      </c>
      <c r="D5" s="2" t="s">
        <v>33</v>
      </c>
      <c r="E5" s="2" t="s">
        <v>34</v>
      </c>
      <c r="F5" s="3" t="n">
        <v>1</v>
      </c>
      <c r="G5" s="2" t="s">
        <v>33</v>
      </c>
      <c r="H5" s="4" t="n">
        <v>23000</v>
      </c>
      <c r="I5" s="4" t="n">
        <v>23000</v>
      </c>
      <c r="J5" s="5" t="n">
        <v>46185</v>
      </c>
      <c r="K5" s="2"/>
      <c r="L5" s="3" t="n">
        <v>4</v>
      </c>
      <c r="M5" s="3"/>
      <c r="N5" s="3"/>
      <c r="O5" s="3" t="n">
        <v>4</v>
      </c>
      <c r="P5" s="2"/>
      <c r="Q5" s="2"/>
      <c r="R5" s="2"/>
      <c r="S5" s="2"/>
      <c r="T5" s="2"/>
      <c r="U5" s="2"/>
      <c r="V5" s="2"/>
      <c r="W5" s="2"/>
      <c r="X5" s="2"/>
      <c r="Y5" s="2"/>
      <c r="Z5" s="2" t="s">
        <v>38</v>
      </c>
      <c r="AA5" s="2"/>
      <c r="AB5" s="3" t="n">
        <v>1442305</v>
      </c>
      <c r="AC5" s="2" t="s">
        <v>35</v>
      </c>
      <c r="AD5" s="2" t="s">
        <v>36</v>
      </c>
      <c r="AE5" s="2" t="s">
        <v>37</v>
      </c>
    </row>
    <row r="6" customFormat="false" ht="15" hidden="false" customHeight="false" outlineLevel="0" collapsed="false">
      <c r="A6" s="2" t="s">
        <v>43</v>
      </c>
      <c r="B6" s="2" t="s">
        <v>44</v>
      </c>
      <c r="C6" s="3" t="n">
        <v>13</v>
      </c>
      <c r="D6" s="2" t="s">
        <v>33</v>
      </c>
      <c r="E6" s="2" t="s">
        <v>34</v>
      </c>
      <c r="F6" s="3" t="n">
        <v>1</v>
      </c>
      <c r="G6" s="2" t="s">
        <v>33</v>
      </c>
      <c r="H6" s="4" t="n">
        <v>23000</v>
      </c>
      <c r="I6" s="4" t="n">
        <v>23000</v>
      </c>
      <c r="J6" s="5" t="n">
        <v>46185</v>
      </c>
      <c r="K6" s="2"/>
      <c r="L6" s="3" t="n">
        <v>13</v>
      </c>
      <c r="M6" s="3"/>
      <c r="N6" s="3"/>
      <c r="O6" s="3" t="n">
        <v>13</v>
      </c>
      <c r="P6" s="2"/>
      <c r="Q6" s="2"/>
      <c r="R6" s="2"/>
      <c r="S6" s="2"/>
      <c r="T6" s="2"/>
      <c r="U6" s="2"/>
      <c r="V6" s="2"/>
      <c r="W6" s="2"/>
      <c r="X6" s="2"/>
      <c r="Y6" s="2"/>
      <c r="Z6" s="2" t="s">
        <v>38</v>
      </c>
      <c r="AA6" s="2"/>
      <c r="AB6" s="3" t="n">
        <v>1442305</v>
      </c>
      <c r="AC6" s="2" t="s">
        <v>35</v>
      </c>
      <c r="AD6" s="2" t="s">
        <v>36</v>
      </c>
      <c r="AE6" s="2" t="s">
        <v>37</v>
      </c>
    </row>
    <row r="7" customFormat="false" ht="15" hidden="false" customHeight="false" outlineLevel="0" collapsed="false">
      <c r="A7" s="2" t="s">
        <v>45</v>
      </c>
      <c r="B7" s="2" t="s">
        <v>46</v>
      </c>
      <c r="C7" s="3" t="n">
        <v>6</v>
      </c>
      <c r="D7" s="2" t="s">
        <v>33</v>
      </c>
      <c r="E7" s="2" t="s">
        <v>34</v>
      </c>
      <c r="F7" s="3" t="n">
        <v>1</v>
      </c>
      <c r="G7" s="2" t="s">
        <v>33</v>
      </c>
      <c r="H7" s="4" t="n">
        <v>35000</v>
      </c>
      <c r="I7" s="4" t="n">
        <v>35000</v>
      </c>
      <c r="J7" s="5" t="n">
        <v>46185</v>
      </c>
      <c r="K7" s="2"/>
      <c r="L7" s="3" t="n">
        <v>6</v>
      </c>
      <c r="M7" s="3"/>
      <c r="N7" s="3"/>
      <c r="O7" s="3" t="n">
        <v>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3" t="n">
        <v>1442305</v>
      </c>
      <c r="AC7" s="2" t="s">
        <v>35</v>
      </c>
      <c r="AD7" s="2" t="s">
        <v>36</v>
      </c>
      <c r="AE7" s="2" t="s">
        <v>37</v>
      </c>
    </row>
    <row r="8" customFormat="false" ht="15" hidden="false" customHeight="false" outlineLevel="0" collapsed="false">
      <c r="A8" s="2" t="s">
        <v>47</v>
      </c>
      <c r="B8" s="2" t="s">
        <v>48</v>
      </c>
      <c r="C8" s="3" t="n">
        <v>3370</v>
      </c>
      <c r="D8" s="2" t="s">
        <v>33</v>
      </c>
      <c r="E8" s="2" t="s">
        <v>34</v>
      </c>
      <c r="F8" s="3" t="n">
        <v>1</v>
      </c>
      <c r="G8" s="2" t="s">
        <v>33</v>
      </c>
      <c r="H8" s="4" t="n">
        <v>35000</v>
      </c>
      <c r="I8" s="4" t="n">
        <v>35000</v>
      </c>
      <c r="J8" s="5" t="n">
        <v>46185</v>
      </c>
      <c r="K8" s="2"/>
      <c r="L8" s="3" t="n">
        <v>3370</v>
      </c>
      <c r="M8" s="3"/>
      <c r="N8" s="3"/>
      <c r="O8" s="3" t="n">
        <v>3370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3" t="n">
        <v>1442305</v>
      </c>
      <c r="AC8" s="2" t="s">
        <v>35</v>
      </c>
      <c r="AD8" s="2" t="s">
        <v>36</v>
      </c>
      <c r="AE8" s="2" t="s">
        <v>37</v>
      </c>
    </row>
    <row r="9" customFormat="false" ht="15" hidden="false" customHeight="false" outlineLevel="0" collapsed="false">
      <c r="A9" s="2" t="s">
        <v>47</v>
      </c>
      <c r="B9" s="2" t="s">
        <v>48</v>
      </c>
      <c r="C9" s="3" t="n">
        <v>3370</v>
      </c>
      <c r="D9" s="2" t="s">
        <v>33</v>
      </c>
      <c r="E9" s="2" t="s">
        <v>34</v>
      </c>
      <c r="F9" s="3" t="n">
        <v>1</v>
      </c>
      <c r="G9" s="2" t="s">
        <v>33</v>
      </c>
      <c r="H9" s="4" t="n">
        <v>35000</v>
      </c>
      <c r="I9" s="4" t="n">
        <v>35000</v>
      </c>
      <c r="J9" s="2"/>
      <c r="K9" s="5" t="n">
        <v>46192</v>
      </c>
      <c r="L9" s="3"/>
      <c r="M9" s="3"/>
      <c r="N9" s="3" t="n">
        <v>1300</v>
      </c>
      <c r="O9" s="3" t="n">
        <v>2070</v>
      </c>
      <c r="P9" s="2" t="s">
        <v>49</v>
      </c>
      <c r="Q9" s="2" t="s">
        <v>50</v>
      </c>
      <c r="R9" s="2"/>
      <c r="S9" s="5" t="n">
        <v>46192</v>
      </c>
      <c r="T9" s="2" t="s">
        <v>51</v>
      </c>
      <c r="U9" s="5" t="n">
        <v>46195</v>
      </c>
      <c r="V9" s="2"/>
      <c r="W9" s="2"/>
      <c r="X9" s="2"/>
      <c r="Y9" s="2"/>
      <c r="Z9" s="2"/>
      <c r="AA9" s="2"/>
      <c r="AB9" s="3" t="n">
        <v>1442305</v>
      </c>
      <c r="AC9" s="2" t="s">
        <v>35</v>
      </c>
      <c r="AD9" s="2" t="s">
        <v>36</v>
      </c>
      <c r="AE9" s="2" t="s">
        <v>37</v>
      </c>
    </row>
    <row r="10" customFormat="false" ht="15" hidden="false" customHeight="false" outlineLevel="0" collapsed="false">
      <c r="A10" s="2" t="s">
        <v>47</v>
      </c>
      <c r="B10" s="2" t="s">
        <v>48</v>
      </c>
      <c r="C10" s="3" t="n">
        <v>3370</v>
      </c>
      <c r="D10" s="2" t="s">
        <v>33</v>
      </c>
      <c r="E10" s="2" t="s">
        <v>34</v>
      </c>
      <c r="F10" s="3" t="n">
        <v>1</v>
      </c>
      <c r="G10" s="2" t="s">
        <v>33</v>
      </c>
      <c r="H10" s="4" t="n">
        <v>35000</v>
      </c>
      <c r="I10" s="4" t="n">
        <v>35000</v>
      </c>
      <c r="J10" s="2"/>
      <c r="K10" s="5" t="n">
        <v>46209</v>
      </c>
      <c r="L10" s="3"/>
      <c r="M10" s="3"/>
      <c r="N10" s="3" t="n">
        <v>2</v>
      </c>
      <c r="O10" s="3" t="n">
        <v>2068</v>
      </c>
      <c r="P10" s="2" t="s">
        <v>52</v>
      </c>
      <c r="Q10" s="2" t="s">
        <v>53</v>
      </c>
      <c r="R10" s="2" t="s">
        <v>54</v>
      </c>
      <c r="S10" s="5" t="n">
        <v>46209</v>
      </c>
      <c r="T10" s="2" t="s">
        <v>55</v>
      </c>
      <c r="U10" s="5" t="n">
        <v>46209</v>
      </c>
      <c r="V10" s="2"/>
      <c r="W10" s="2"/>
      <c r="X10" s="2"/>
      <c r="Y10" s="2"/>
      <c r="Z10" s="2"/>
      <c r="AA10" s="2"/>
      <c r="AB10" s="3" t="n">
        <v>1442305</v>
      </c>
      <c r="AC10" s="2" t="s">
        <v>35</v>
      </c>
      <c r="AD10" s="2" t="s">
        <v>36</v>
      </c>
      <c r="AE10" s="2" t="s">
        <v>37</v>
      </c>
    </row>
    <row r="11" customFormat="false" ht="15" hidden="false" customHeight="false" outlineLevel="0" collapsed="false">
      <c r="A11" s="2" t="s">
        <v>47</v>
      </c>
      <c r="B11" s="2" t="s">
        <v>48</v>
      </c>
      <c r="C11" s="3" t="n">
        <v>3370</v>
      </c>
      <c r="D11" s="2" t="s">
        <v>33</v>
      </c>
      <c r="E11" s="2" t="s">
        <v>34</v>
      </c>
      <c r="F11" s="3" t="n">
        <v>1</v>
      </c>
      <c r="G11" s="2" t="s">
        <v>33</v>
      </c>
      <c r="H11" s="4" t="n">
        <v>35000</v>
      </c>
      <c r="I11" s="4" t="n">
        <v>35000</v>
      </c>
      <c r="J11" s="2"/>
      <c r="K11" s="5" t="n">
        <v>46211</v>
      </c>
      <c r="L11" s="3"/>
      <c r="M11" s="3"/>
      <c r="N11" s="3" t="n">
        <v>1</v>
      </c>
      <c r="O11" s="3" t="n">
        <v>2067</v>
      </c>
      <c r="P11" s="2" t="s">
        <v>56</v>
      </c>
      <c r="Q11" s="2" t="s">
        <v>57</v>
      </c>
      <c r="R11" s="2" t="s">
        <v>58</v>
      </c>
      <c r="S11" s="5" t="n">
        <v>46211</v>
      </c>
      <c r="T11" s="2" t="s">
        <v>51</v>
      </c>
      <c r="U11" s="5" t="n">
        <v>46211</v>
      </c>
      <c r="V11" s="2"/>
      <c r="W11" s="2"/>
      <c r="X11" s="2"/>
      <c r="Y11" s="2"/>
      <c r="Z11" s="2"/>
      <c r="AA11" s="2"/>
      <c r="AB11" s="3" t="n">
        <v>1442305</v>
      </c>
      <c r="AC11" s="2" t="s">
        <v>35</v>
      </c>
      <c r="AD11" s="2" t="s">
        <v>36</v>
      </c>
      <c r="AE11" s="2" t="s">
        <v>37</v>
      </c>
    </row>
    <row r="12" customFormat="false" ht="15" hidden="false" customHeight="false" outlineLevel="0" collapsed="false">
      <c r="A12" s="2" t="s">
        <v>59</v>
      </c>
      <c r="B12" s="2" t="s">
        <v>60</v>
      </c>
      <c r="C12" s="3" t="n">
        <v>10</v>
      </c>
      <c r="D12" s="2" t="s">
        <v>33</v>
      </c>
      <c r="E12" s="2" t="s">
        <v>34</v>
      </c>
      <c r="F12" s="3" t="n">
        <v>1</v>
      </c>
      <c r="G12" s="2" t="s">
        <v>33</v>
      </c>
      <c r="H12" s="4" t="n">
        <v>35000</v>
      </c>
      <c r="I12" s="4" t="n">
        <v>35000</v>
      </c>
      <c r="J12" s="5" t="n">
        <v>46185</v>
      </c>
      <c r="K12" s="2"/>
      <c r="L12" s="3" t="n">
        <v>10</v>
      </c>
      <c r="M12" s="3"/>
      <c r="N12" s="3"/>
      <c r="O12" s="3" t="n">
        <v>10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3" t="n">
        <v>1442305</v>
      </c>
      <c r="AC12" s="2" t="s">
        <v>35</v>
      </c>
      <c r="AD12" s="2" t="s">
        <v>36</v>
      </c>
      <c r="AE12" s="2" t="s">
        <v>37</v>
      </c>
    </row>
    <row r="13" customFormat="false" ht="15" hidden="false" customHeight="false" outlineLevel="0" collapsed="false">
      <c r="A13" s="2" t="s">
        <v>61</v>
      </c>
      <c r="B13" s="2" t="s">
        <v>62</v>
      </c>
      <c r="C13" s="3" t="n">
        <v>80</v>
      </c>
      <c r="D13" s="2" t="s">
        <v>63</v>
      </c>
      <c r="E13" s="2" t="s">
        <v>64</v>
      </c>
      <c r="F13" s="3" t="n">
        <v>50</v>
      </c>
      <c r="G13" s="2" t="s">
        <v>65</v>
      </c>
      <c r="H13" s="4" t="n">
        <v>475.2</v>
      </c>
      <c r="I13" s="4" t="n">
        <v>475.2</v>
      </c>
      <c r="J13" s="5" t="n">
        <v>46185</v>
      </c>
      <c r="K13" s="2"/>
      <c r="L13" s="3" t="n">
        <v>80</v>
      </c>
      <c r="M13" s="3"/>
      <c r="N13" s="3"/>
      <c r="O13" s="3" t="n">
        <v>80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3" t="n">
        <v>1442301</v>
      </c>
      <c r="AC13" s="2" t="s">
        <v>66</v>
      </c>
      <c r="AD13" s="2" t="s">
        <v>67</v>
      </c>
      <c r="AE13" s="2" t="s">
        <v>37</v>
      </c>
    </row>
    <row r="14" customFormat="false" ht="15" hidden="false" customHeight="false" outlineLevel="0" collapsed="false">
      <c r="A14" s="2" t="s">
        <v>61</v>
      </c>
      <c r="B14" s="2" t="s">
        <v>62</v>
      </c>
      <c r="C14" s="3" t="n">
        <v>80</v>
      </c>
      <c r="D14" s="2" t="s">
        <v>63</v>
      </c>
      <c r="E14" s="2" t="s">
        <v>64</v>
      </c>
      <c r="F14" s="3" t="n">
        <v>50</v>
      </c>
      <c r="G14" s="2" t="s">
        <v>65</v>
      </c>
      <c r="H14" s="4" t="n">
        <v>475.2</v>
      </c>
      <c r="I14" s="4" t="n">
        <v>475.2</v>
      </c>
      <c r="J14" s="2"/>
      <c r="K14" s="5" t="n">
        <v>46192</v>
      </c>
      <c r="L14" s="3"/>
      <c r="M14" s="3"/>
      <c r="N14" s="3" t="n">
        <v>1</v>
      </c>
      <c r="O14" s="3" t="n">
        <v>79</v>
      </c>
      <c r="P14" s="2"/>
      <c r="Q14" s="2" t="s">
        <v>68</v>
      </c>
      <c r="R14" s="2" t="s">
        <v>69</v>
      </c>
      <c r="S14" s="5" t="n">
        <v>46192</v>
      </c>
      <c r="T14" s="2" t="s">
        <v>51</v>
      </c>
      <c r="U14" s="5" t="n">
        <v>46192</v>
      </c>
      <c r="V14" s="2"/>
      <c r="W14" s="2" t="s">
        <v>70</v>
      </c>
      <c r="X14" s="2"/>
      <c r="Y14" s="2"/>
      <c r="Z14" s="2"/>
      <c r="AA14" s="2"/>
      <c r="AB14" s="3" t="n">
        <v>1442301</v>
      </c>
      <c r="AC14" s="2" t="s">
        <v>66</v>
      </c>
      <c r="AD14" s="2" t="s">
        <v>67</v>
      </c>
      <c r="AE14" s="2" t="s">
        <v>37</v>
      </c>
    </row>
    <row r="15" customFormat="false" ht="15" hidden="false" customHeight="false" outlineLevel="0" collapsed="false">
      <c r="A15" s="2" t="s">
        <v>71</v>
      </c>
      <c r="B15" s="2" t="s">
        <v>72</v>
      </c>
      <c r="C15" s="3" t="n">
        <v>1</v>
      </c>
      <c r="D15" s="2" t="s">
        <v>63</v>
      </c>
      <c r="E15" s="2" t="s">
        <v>64</v>
      </c>
      <c r="F15" s="3" t="n">
        <v>100</v>
      </c>
      <c r="G15" s="2" t="s">
        <v>73</v>
      </c>
      <c r="H15" s="4" t="n">
        <v>155.4</v>
      </c>
      <c r="I15" s="4" t="n">
        <v>155.4</v>
      </c>
      <c r="J15" s="5" t="n">
        <v>46185</v>
      </c>
      <c r="K15" s="2"/>
      <c r="L15" s="3" t="n">
        <v>1</v>
      </c>
      <c r="M15" s="3"/>
      <c r="N15" s="3"/>
      <c r="O15" s="3" t="n">
        <v>1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3" t="n">
        <v>1442301</v>
      </c>
      <c r="AC15" s="2" t="s">
        <v>66</v>
      </c>
      <c r="AD15" s="2" t="s">
        <v>67</v>
      </c>
      <c r="AE15" s="2" t="s">
        <v>37</v>
      </c>
    </row>
    <row r="16" customFormat="false" ht="15" hidden="false" customHeight="false" outlineLevel="0" collapsed="false">
      <c r="A16" s="2" t="s">
        <v>71</v>
      </c>
      <c r="B16" s="2" t="s">
        <v>72</v>
      </c>
      <c r="C16" s="3" t="n">
        <v>1</v>
      </c>
      <c r="D16" s="2" t="s">
        <v>63</v>
      </c>
      <c r="E16" s="2" t="s">
        <v>64</v>
      </c>
      <c r="F16" s="3" t="n">
        <v>100</v>
      </c>
      <c r="G16" s="2" t="s">
        <v>73</v>
      </c>
      <c r="H16" s="4" t="n">
        <v>155.4</v>
      </c>
      <c r="I16" s="4" t="n">
        <v>155.4</v>
      </c>
      <c r="J16" s="2"/>
      <c r="K16" s="5" t="n">
        <v>46192</v>
      </c>
      <c r="L16" s="3"/>
      <c r="M16" s="3"/>
      <c r="N16" s="3" t="n">
        <v>1</v>
      </c>
      <c r="O16" s="3"/>
      <c r="P16" s="2"/>
      <c r="Q16" s="2" t="s">
        <v>68</v>
      </c>
      <c r="R16" s="2" t="s">
        <v>69</v>
      </c>
      <c r="S16" s="5" t="n">
        <v>46192</v>
      </c>
      <c r="T16" s="2" t="s">
        <v>51</v>
      </c>
      <c r="U16" s="5" t="n">
        <v>46192</v>
      </c>
      <c r="V16" s="2"/>
      <c r="W16" s="2" t="s">
        <v>70</v>
      </c>
      <c r="X16" s="2"/>
      <c r="Y16" s="2"/>
      <c r="Z16" s="2"/>
      <c r="AA16" s="2"/>
      <c r="AB16" s="3" t="n">
        <v>1442301</v>
      </c>
      <c r="AC16" s="2" t="s">
        <v>66</v>
      </c>
      <c r="AD16" s="2" t="s">
        <v>67</v>
      </c>
      <c r="AE16" s="2" t="s">
        <v>37</v>
      </c>
    </row>
    <row r="17" customFormat="false" ht="15" hidden="false" customHeight="false" outlineLevel="0" collapsed="false">
      <c r="A17" s="2" t="s">
        <v>71</v>
      </c>
      <c r="B17" s="2" t="s">
        <v>72</v>
      </c>
      <c r="C17" s="3" t="n">
        <v>1</v>
      </c>
      <c r="D17" s="2" t="s">
        <v>63</v>
      </c>
      <c r="E17" s="2" t="s">
        <v>64</v>
      </c>
      <c r="F17" s="3" t="n">
        <v>100</v>
      </c>
      <c r="G17" s="2" t="s">
        <v>73</v>
      </c>
      <c r="H17" s="4" t="n">
        <v>155.4</v>
      </c>
      <c r="I17" s="4" t="n">
        <v>155.4</v>
      </c>
      <c r="J17" s="5" t="n">
        <v>46212</v>
      </c>
      <c r="K17" s="2"/>
      <c r="L17" s="3"/>
      <c r="M17" s="3" t="n">
        <v>45</v>
      </c>
      <c r="N17" s="3"/>
      <c r="O17" s="3"/>
      <c r="P17" s="2" t="s">
        <v>74</v>
      </c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3" t="n">
        <v>1442301</v>
      </c>
      <c r="AC17" s="2" t="s">
        <v>66</v>
      </c>
      <c r="AD17" s="2" t="s">
        <v>67</v>
      </c>
      <c r="AE17" s="2" t="s">
        <v>37</v>
      </c>
    </row>
    <row r="18" customFormat="false" ht="15" hidden="false" customHeight="false" outlineLevel="0" collapsed="false">
      <c r="A18" s="2" t="s">
        <v>75</v>
      </c>
      <c r="B18" s="2" t="s">
        <v>76</v>
      </c>
      <c r="C18" s="3" t="n">
        <v>32</v>
      </c>
      <c r="D18" s="2" t="s">
        <v>63</v>
      </c>
      <c r="E18" s="2" t="s">
        <v>64</v>
      </c>
      <c r="F18" s="3" t="n">
        <v>100</v>
      </c>
      <c r="G18" s="2" t="s">
        <v>73</v>
      </c>
      <c r="H18" s="4" t="n">
        <v>222</v>
      </c>
      <c r="I18" s="4" t="n">
        <v>222</v>
      </c>
      <c r="J18" s="5" t="n">
        <v>46185</v>
      </c>
      <c r="K18" s="2"/>
      <c r="L18" s="3" t="n">
        <v>32</v>
      </c>
      <c r="M18" s="3"/>
      <c r="N18" s="3"/>
      <c r="O18" s="3" t="n">
        <v>32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3" t="n">
        <v>1442301</v>
      </c>
      <c r="AC18" s="2" t="s">
        <v>66</v>
      </c>
      <c r="AD18" s="2" t="s">
        <v>67</v>
      </c>
      <c r="AE18" s="2" t="s">
        <v>37</v>
      </c>
    </row>
    <row r="19" customFormat="false" ht="15" hidden="false" customHeight="false" outlineLevel="0" collapsed="false">
      <c r="A19" s="2" t="s">
        <v>75</v>
      </c>
      <c r="B19" s="2" t="s">
        <v>76</v>
      </c>
      <c r="C19" s="3" t="n">
        <v>32</v>
      </c>
      <c r="D19" s="2" t="s">
        <v>63</v>
      </c>
      <c r="E19" s="2" t="s">
        <v>64</v>
      </c>
      <c r="F19" s="3" t="n">
        <v>100</v>
      </c>
      <c r="G19" s="2" t="s">
        <v>73</v>
      </c>
      <c r="H19" s="4" t="n">
        <v>222</v>
      </c>
      <c r="I19" s="4" t="n">
        <v>222</v>
      </c>
      <c r="J19" s="2"/>
      <c r="K19" s="5" t="n">
        <v>46192</v>
      </c>
      <c r="L19" s="3"/>
      <c r="M19" s="3"/>
      <c r="N19" s="3" t="n">
        <v>1</v>
      </c>
      <c r="O19" s="3" t="n">
        <v>31</v>
      </c>
      <c r="P19" s="2"/>
      <c r="Q19" s="2" t="s">
        <v>68</v>
      </c>
      <c r="R19" s="2" t="s">
        <v>69</v>
      </c>
      <c r="S19" s="5" t="n">
        <v>46192</v>
      </c>
      <c r="T19" s="2" t="s">
        <v>51</v>
      </c>
      <c r="U19" s="5" t="n">
        <v>46192</v>
      </c>
      <c r="V19" s="2"/>
      <c r="W19" s="2" t="s">
        <v>70</v>
      </c>
      <c r="X19" s="2"/>
      <c r="Y19" s="2"/>
      <c r="Z19" s="2"/>
      <c r="AA19" s="2"/>
      <c r="AB19" s="3" t="n">
        <v>1442301</v>
      </c>
      <c r="AC19" s="2" t="s">
        <v>66</v>
      </c>
      <c r="AD19" s="2" t="s">
        <v>67</v>
      </c>
      <c r="AE19" s="2" t="s">
        <v>37</v>
      </c>
    </row>
    <row r="20" customFormat="false" ht="15" hidden="false" customHeight="false" outlineLevel="0" collapsed="false">
      <c r="A20" s="2" t="s">
        <v>77</v>
      </c>
      <c r="B20" s="2" t="s">
        <v>78</v>
      </c>
      <c r="C20" s="3" t="n">
        <v>76</v>
      </c>
      <c r="D20" s="2" t="s">
        <v>63</v>
      </c>
      <c r="E20" s="2" t="s">
        <v>64</v>
      </c>
      <c r="F20" s="3" t="n">
        <v>250</v>
      </c>
      <c r="G20" s="2" t="s">
        <v>73</v>
      </c>
      <c r="H20" s="4"/>
      <c r="I20" s="4"/>
      <c r="J20" s="5" t="n">
        <v>46185</v>
      </c>
      <c r="K20" s="2"/>
      <c r="L20" s="3" t="n">
        <v>76</v>
      </c>
      <c r="M20" s="3"/>
      <c r="N20" s="3"/>
      <c r="O20" s="3" t="n">
        <v>76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3" t="n">
        <v>1442301</v>
      </c>
      <c r="AC20" s="2" t="s">
        <v>66</v>
      </c>
      <c r="AD20" s="2" t="s">
        <v>67</v>
      </c>
      <c r="AE20" s="2" t="s">
        <v>37</v>
      </c>
    </row>
    <row r="21" customFormat="false" ht="15" hidden="false" customHeight="false" outlineLevel="0" collapsed="false">
      <c r="A21" s="2" t="s">
        <v>77</v>
      </c>
      <c r="B21" s="2" t="s">
        <v>78</v>
      </c>
      <c r="C21" s="3" t="n">
        <v>76</v>
      </c>
      <c r="D21" s="2" t="s">
        <v>63</v>
      </c>
      <c r="E21" s="2" t="s">
        <v>64</v>
      </c>
      <c r="F21" s="3" t="n">
        <v>250</v>
      </c>
      <c r="G21" s="2" t="s">
        <v>73</v>
      </c>
      <c r="H21" s="4"/>
      <c r="I21" s="4"/>
      <c r="J21" s="2"/>
      <c r="K21" s="5" t="n">
        <v>46188</v>
      </c>
      <c r="L21" s="3"/>
      <c r="M21" s="3"/>
      <c r="N21" s="3" t="n">
        <v>2</v>
      </c>
      <c r="O21" s="3" t="n">
        <v>74</v>
      </c>
      <c r="P21" s="2" t="s">
        <v>79</v>
      </c>
      <c r="Q21" s="2" t="s">
        <v>80</v>
      </c>
      <c r="R21" s="2" t="s">
        <v>81</v>
      </c>
      <c r="S21" s="5" t="n">
        <v>46191</v>
      </c>
      <c r="T21" s="2" t="s">
        <v>55</v>
      </c>
      <c r="U21" s="5" t="n">
        <v>46191</v>
      </c>
      <c r="V21" s="2"/>
      <c r="W21" s="2"/>
      <c r="X21" s="2"/>
      <c r="Y21" s="2"/>
      <c r="Z21" s="2"/>
      <c r="AA21" s="2"/>
      <c r="AB21" s="3" t="n">
        <v>1442301</v>
      </c>
      <c r="AC21" s="2" t="s">
        <v>66</v>
      </c>
      <c r="AD21" s="2" t="s">
        <v>67</v>
      </c>
      <c r="AE21" s="2" t="s">
        <v>37</v>
      </c>
    </row>
    <row r="22" customFormat="false" ht="15" hidden="false" customHeight="false" outlineLevel="0" collapsed="false">
      <c r="A22" s="2" t="s">
        <v>77</v>
      </c>
      <c r="B22" s="2" t="s">
        <v>78</v>
      </c>
      <c r="C22" s="3" t="n">
        <v>76</v>
      </c>
      <c r="D22" s="2" t="s">
        <v>63</v>
      </c>
      <c r="E22" s="2" t="s">
        <v>64</v>
      </c>
      <c r="F22" s="3" t="n">
        <v>250</v>
      </c>
      <c r="G22" s="2" t="s">
        <v>73</v>
      </c>
      <c r="H22" s="4"/>
      <c r="I22" s="4"/>
      <c r="J22" s="2"/>
      <c r="K22" s="5" t="n">
        <v>46192</v>
      </c>
      <c r="L22" s="3"/>
      <c r="M22" s="3"/>
      <c r="N22" s="3" t="n">
        <v>4</v>
      </c>
      <c r="O22" s="3" t="n">
        <v>70</v>
      </c>
      <c r="P22" s="2" t="s">
        <v>82</v>
      </c>
      <c r="Q22" s="2" t="s">
        <v>83</v>
      </c>
      <c r="R22" s="2" t="s">
        <v>84</v>
      </c>
      <c r="S22" s="5" t="n">
        <v>46192</v>
      </c>
      <c r="T22" s="2" t="s">
        <v>51</v>
      </c>
      <c r="U22" s="5" t="n">
        <v>46192</v>
      </c>
      <c r="V22" s="2"/>
      <c r="W22" s="2"/>
      <c r="X22" s="2"/>
      <c r="Y22" s="2"/>
      <c r="Z22" s="2"/>
      <c r="AA22" s="2"/>
      <c r="AB22" s="3" t="n">
        <v>1442301</v>
      </c>
      <c r="AC22" s="2" t="s">
        <v>66</v>
      </c>
      <c r="AD22" s="2" t="s">
        <v>67</v>
      </c>
      <c r="AE22" s="2" t="s">
        <v>37</v>
      </c>
    </row>
    <row r="23" customFormat="false" ht="15" hidden="false" customHeight="false" outlineLevel="0" collapsed="false">
      <c r="A23" s="2" t="s">
        <v>77</v>
      </c>
      <c r="B23" s="2" t="s">
        <v>78</v>
      </c>
      <c r="C23" s="3" t="n">
        <v>76</v>
      </c>
      <c r="D23" s="2" t="s">
        <v>63</v>
      </c>
      <c r="E23" s="2" t="s">
        <v>64</v>
      </c>
      <c r="F23" s="3" t="n">
        <v>250</v>
      </c>
      <c r="G23" s="2" t="s">
        <v>73</v>
      </c>
      <c r="H23" s="4"/>
      <c r="I23" s="4"/>
      <c r="J23" s="2"/>
      <c r="K23" s="5" t="n">
        <v>46192</v>
      </c>
      <c r="L23" s="3"/>
      <c r="M23" s="3"/>
      <c r="N23" s="3" t="n">
        <v>2</v>
      </c>
      <c r="O23" s="3" t="n">
        <v>68</v>
      </c>
      <c r="P23" s="2"/>
      <c r="Q23" s="2" t="s">
        <v>68</v>
      </c>
      <c r="R23" s="2" t="s">
        <v>69</v>
      </c>
      <c r="S23" s="5" t="n">
        <v>46192</v>
      </c>
      <c r="T23" s="2" t="s">
        <v>51</v>
      </c>
      <c r="U23" s="5" t="n">
        <v>46192</v>
      </c>
      <c r="V23" s="2"/>
      <c r="W23" s="2" t="s">
        <v>70</v>
      </c>
      <c r="X23" s="2"/>
      <c r="Y23" s="2"/>
      <c r="Z23" s="2"/>
      <c r="AA23" s="2"/>
      <c r="AB23" s="3" t="n">
        <v>1442301</v>
      </c>
      <c r="AC23" s="2" t="s">
        <v>66</v>
      </c>
      <c r="AD23" s="2" t="s">
        <v>67</v>
      </c>
      <c r="AE23" s="2" t="s">
        <v>37</v>
      </c>
    </row>
    <row r="24" customFormat="false" ht="15" hidden="false" customHeight="false" outlineLevel="0" collapsed="false">
      <c r="A24" s="2" t="s">
        <v>77</v>
      </c>
      <c r="B24" s="2" t="s">
        <v>78</v>
      </c>
      <c r="C24" s="3" t="n">
        <v>76</v>
      </c>
      <c r="D24" s="2" t="s">
        <v>63</v>
      </c>
      <c r="E24" s="2" t="s">
        <v>64</v>
      </c>
      <c r="F24" s="3" t="n">
        <v>250</v>
      </c>
      <c r="G24" s="2" t="s">
        <v>73</v>
      </c>
      <c r="H24" s="4"/>
      <c r="I24" s="4"/>
      <c r="J24" s="2"/>
      <c r="K24" s="5" t="n">
        <v>46180</v>
      </c>
      <c r="L24" s="3"/>
      <c r="M24" s="3"/>
      <c r="N24" s="3" t="n">
        <v>3</v>
      </c>
      <c r="O24" s="3" t="n">
        <v>65</v>
      </c>
      <c r="P24" s="2" t="s">
        <v>85</v>
      </c>
      <c r="Q24" s="2" t="s">
        <v>86</v>
      </c>
      <c r="R24" s="2" t="s">
        <v>87</v>
      </c>
      <c r="S24" s="5" t="n">
        <v>46209</v>
      </c>
      <c r="T24" s="2" t="s">
        <v>51</v>
      </c>
      <c r="U24" s="5" t="n">
        <v>46212</v>
      </c>
      <c r="V24" s="2" t="s">
        <v>88</v>
      </c>
      <c r="W24" s="2" t="s">
        <v>89</v>
      </c>
      <c r="X24" s="2"/>
      <c r="Y24" s="2"/>
      <c r="Z24" s="2"/>
      <c r="AA24" s="2"/>
      <c r="AB24" s="3" t="n">
        <v>1442301</v>
      </c>
      <c r="AC24" s="2" t="s">
        <v>66</v>
      </c>
      <c r="AD24" s="2" t="s">
        <v>67</v>
      </c>
      <c r="AE24" s="2" t="s">
        <v>37</v>
      </c>
    </row>
    <row r="25" customFormat="false" ht="15" hidden="false" customHeight="false" outlineLevel="0" collapsed="false">
      <c r="A25" s="2" t="s">
        <v>77</v>
      </c>
      <c r="B25" s="2" t="s">
        <v>78</v>
      </c>
      <c r="C25" s="3" t="n">
        <v>76</v>
      </c>
      <c r="D25" s="2" t="s">
        <v>63</v>
      </c>
      <c r="E25" s="2" t="s">
        <v>64</v>
      </c>
      <c r="F25" s="3" t="n">
        <v>250</v>
      </c>
      <c r="G25" s="2" t="s">
        <v>73</v>
      </c>
      <c r="H25" s="4"/>
      <c r="I25" s="4"/>
      <c r="J25" s="2"/>
      <c r="K25" s="5" t="n">
        <v>46191</v>
      </c>
      <c r="L25" s="3"/>
      <c r="M25" s="3"/>
      <c r="N25" s="3" t="n">
        <v>1</v>
      </c>
      <c r="O25" s="3" t="n">
        <v>64</v>
      </c>
      <c r="P25" s="2" t="s">
        <v>90</v>
      </c>
      <c r="Q25" s="2" t="s">
        <v>91</v>
      </c>
      <c r="R25" s="2" t="s">
        <v>92</v>
      </c>
      <c r="S25" s="5" t="n">
        <v>46191</v>
      </c>
      <c r="T25" s="2" t="s">
        <v>55</v>
      </c>
      <c r="U25" s="5" t="n">
        <v>46199</v>
      </c>
      <c r="V25" s="2"/>
      <c r="W25" s="2"/>
      <c r="X25" s="2"/>
      <c r="Y25" s="2"/>
      <c r="Z25" s="2"/>
      <c r="AA25" s="2"/>
      <c r="AB25" s="3" t="n">
        <v>1442301</v>
      </c>
      <c r="AC25" s="2" t="s">
        <v>66</v>
      </c>
      <c r="AD25" s="2" t="s">
        <v>67</v>
      </c>
      <c r="AE25" s="2" t="s">
        <v>37</v>
      </c>
    </row>
    <row r="26" customFormat="false" ht="15" hidden="false" customHeight="false" outlineLevel="0" collapsed="false">
      <c r="A26" s="2" t="s">
        <v>93</v>
      </c>
      <c r="B26" s="2" t="s">
        <v>94</v>
      </c>
      <c r="C26" s="3" t="n">
        <v>73</v>
      </c>
      <c r="D26" s="2" t="s">
        <v>63</v>
      </c>
      <c r="E26" s="2" t="s">
        <v>64</v>
      </c>
      <c r="F26" s="3" t="n">
        <v>200</v>
      </c>
      <c r="G26" s="2" t="s">
        <v>73</v>
      </c>
      <c r="H26" s="4"/>
      <c r="I26" s="4"/>
      <c r="J26" s="5" t="n">
        <v>46185</v>
      </c>
      <c r="K26" s="2"/>
      <c r="L26" s="3" t="n">
        <v>73</v>
      </c>
      <c r="M26" s="3"/>
      <c r="N26" s="3"/>
      <c r="O26" s="3" t="n">
        <v>73</v>
      </c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3" t="n">
        <v>1442301</v>
      </c>
      <c r="AC26" s="2" t="s">
        <v>66</v>
      </c>
      <c r="AD26" s="2" t="s">
        <v>67</v>
      </c>
      <c r="AE26" s="2" t="s">
        <v>37</v>
      </c>
    </row>
    <row r="27" customFormat="false" ht="15" hidden="false" customHeight="false" outlineLevel="0" collapsed="false">
      <c r="A27" s="2" t="s">
        <v>93</v>
      </c>
      <c r="B27" s="2" t="s">
        <v>94</v>
      </c>
      <c r="C27" s="3" t="n">
        <v>73</v>
      </c>
      <c r="D27" s="2" t="s">
        <v>63</v>
      </c>
      <c r="E27" s="2" t="s">
        <v>64</v>
      </c>
      <c r="F27" s="3" t="n">
        <v>200</v>
      </c>
      <c r="G27" s="2" t="s">
        <v>73</v>
      </c>
      <c r="H27" s="4"/>
      <c r="I27" s="4"/>
      <c r="J27" s="2"/>
      <c r="K27" s="5" t="n">
        <v>46188</v>
      </c>
      <c r="L27" s="3"/>
      <c r="M27" s="3"/>
      <c r="N27" s="3" t="n">
        <v>10</v>
      </c>
      <c r="O27" s="3" t="n">
        <v>63</v>
      </c>
      <c r="P27" s="2" t="s">
        <v>79</v>
      </c>
      <c r="Q27" s="2" t="s">
        <v>80</v>
      </c>
      <c r="R27" s="2" t="s">
        <v>81</v>
      </c>
      <c r="S27" s="5" t="n">
        <v>46191</v>
      </c>
      <c r="T27" s="2" t="s">
        <v>55</v>
      </c>
      <c r="U27" s="5" t="n">
        <v>46191</v>
      </c>
      <c r="V27" s="2"/>
      <c r="W27" s="2"/>
      <c r="X27" s="2"/>
      <c r="Y27" s="2"/>
      <c r="Z27" s="2"/>
      <c r="AA27" s="2"/>
      <c r="AB27" s="3" t="n">
        <v>1442301</v>
      </c>
      <c r="AC27" s="2" t="s">
        <v>66</v>
      </c>
      <c r="AD27" s="2" t="s">
        <v>67</v>
      </c>
      <c r="AE27" s="2" t="s">
        <v>37</v>
      </c>
    </row>
    <row r="28" customFormat="false" ht="15" hidden="false" customHeight="false" outlineLevel="0" collapsed="false">
      <c r="A28" s="2" t="s">
        <v>93</v>
      </c>
      <c r="B28" s="2" t="s">
        <v>94</v>
      </c>
      <c r="C28" s="3" t="n">
        <v>73</v>
      </c>
      <c r="D28" s="2" t="s">
        <v>63</v>
      </c>
      <c r="E28" s="2" t="s">
        <v>64</v>
      </c>
      <c r="F28" s="3" t="n">
        <v>200</v>
      </c>
      <c r="G28" s="2" t="s">
        <v>73</v>
      </c>
      <c r="H28" s="4"/>
      <c r="I28" s="4"/>
      <c r="J28" s="2"/>
      <c r="K28" s="5" t="n">
        <v>46192</v>
      </c>
      <c r="L28" s="3"/>
      <c r="M28" s="3"/>
      <c r="N28" s="3" t="n">
        <v>3</v>
      </c>
      <c r="O28" s="3" t="n">
        <v>60</v>
      </c>
      <c r="P28" s="2" t="s">
        <v>82</v>
      </c>
      <c r="Q28" s="2" t="s">
        <v>83</v>
      </c>
      <c r="R28" s="2" t="s">
        <v>84</v>
      </c>
      <c r="S28" s="5" t="n">
        <v>46192</v>
      </c>
      <c r="T28" s="2" t="s">
        <v>51</v>
      </c>
      <c r="U28" s="5" t="n">
        <v>46192</v>
      </c>
      <c r="V28" s="2"/>
      <c r="W28" s="2"/>
      <c r="X28" s="2"/>
      <c r="Y28" s="2"/>
      <c r="Z28" s="2"/>
      <c r="AA28" s="2"/>
      <c r="AB28" s="3" t="n">
        <v>1442301</v>
      </c>
      <c r="AC28" s="2" t="s">
        <v>66</v>
      </c>
      <c r="AD28" s="2" t="s">
        <v>67</v>
      </c>
      <c r="AE28" s="2" t="s">
        <v>37</v>
      </c>
    </row>
    <row r="29" customFormat="false" ht="15" hidden="false" customHeight="false" outlineLevel="0" collapsed="false">
      <c r="A29" s="2" t="s">
        <v>93</v>
      </c>
      <c r="B29" s="2" t="s">
        <v>94</v>
      </c>
      <c r="C29" s="3" t="n">
        <v>73</v>
      </c>
      <c r="D29" s="2" t="s">
        <v>63</v>
      </c>
      <c r="E29" s="2" t="s">
        <v>64</v>
      </c>
      <c r="F29" s="3" t="n">
        <v>200</v>
      </c>
      <c r="G29" s="2" t="s">
        <v>73</v>
      </c>
      <c r="H29" s="4"/>
      <c r="I29" s="4"/>
      <c r="J29" s="2"/>
      <c r="K29" s="5" t="n">
        <v>46192</v>
      </c>
      <c r="L29" s="3"/>
      <c r="M29" s="3"/>
      <c r="N29" s="3" t="n">
        <v>2</v>
      </c>
      <c r="O29" s="3" t="n">
        <v>58</v>
      </c>
      <c r="P29" s="2"/>
      <c r="Q29" s="2" t="s">
        <v>68</v>
      </c>
      <c r="R29" s="2" t="s">
        <v>69</v>
      </c>
      <c r="S29" s="5" t="n">
        <v>46192</v>
      </c>
      <c r="T29" s="2" t="s">
        <v>51</v>
      </c>
      <c r="U29" s="5" t="n">
        <v>46192</v>
      </c>
      <c r="V29" s="2"/>
      <c r="W29" s="2" t="s">
        <v>70</v>
      </c>
      <c r="X29" s="2"/>
      <c r="Y29" s="2"/>
      <c r="Z29" s="2"/>
      <c r="AA29" s="2"/>
      <c r="AB29" s="3" t="n">
        <v>1442301</v>
      </c>
      <c r="AC29" s="2" t="s">
        <v>66</v>
      </c>
      <c r="AD29" s="2" t="s">
        <v>67</v>
      </c>
      <c r="AE29" s="2" t="s">
        <v>37</v>
      </c>
    </row>
    <row r="30" customFormat="false" ht="15" hidden="false" customHeight="false" outlineLevel="0" collapsed="false">
      <c r="A30" s="2" t="s">
        <v>93</v>
      </c>
      <c r="B30" s="2" t="s">
        <v>94</v>
      </c>
      <c r="C30" s="3" t="n">
        <v>73</v>
      </c>
      <c r="D30" s="2" t="s">
        <v>63</v>
      </c>
      <c r="E30" s="2" t="s">
        <v>64</v>
      </c>
      <c r="F30" s="3" t="n">
        <v>200</v>
      </c>
      <c r="G30" s="2" t="s">
        <v>73</v>
      </c>
      <c r="H30" s="4"/>
      <c r="I30" s="4"/>
      <c r="J30" s="2"/>
      <c r="K30" s="5" t="n">
        <v>46192</v>
      </c>
      <c r="L30" s="3"/>
      <c r="M30" s="3"/>
      <c r="N30" s="3" t="n">
        <v>1</v>
      </c>
      <c r="O30" s="3" t="n">
        <v>57</v>
      </c>
      <c r="P30" s="2" t="s">
        <v>90</v>
      </c>
      <c r="Q30" s="2" t="s">
        <v>91</v>
      </c>
      <c r="R30" s="2" t="s">
        <v>92</v>
      </c>
      <c r="S30" s="5" t="n">
        <v>46191</v>
      </c>
      <c r="T30" s="2" t="s">
        <v>55</v>
      </c>
      <c r="U30" s="5" t="n">
        <v>46199</v>
      </c>
      <c r="V30" s="2"/>
      <c r="W30" s="2"/>
      <c r="X30" s="2"/>
      <c r="Y30" s="2"/>
      <c r="Z30" s="2"/>
      <c r="AA30" s="2"/>
      <c r="AB30" s="3" t="n">
        <v>1442301</v>
      </c>
      <c r="AC30" s="2" t="s">
        <v>66</v>
      </c>
      <c r="AD30" s="2" t="s">
        <v>67</v>
      </c>
      <c r="AE30" s="2" t="s">
        <v>37</v>
      </c>
    </row>
    <row r="31" customFormat="false" ht="15" hidden="false" customHeight="false" outlineLevel="0" collapsed="false">
      <c r="A31" s="2" t="s">
        <v>93</v>
      </c>
      <c r="B31" s="2" t="s">
        <v>94</v>
      </c>
      <c r="C31" s="3" t="n">
        <v>73</v>
      </c>
      <c r="D31" s="2" t="s">
        <v>63</v>
      </c>
      <c r="E31" s="2" t="s">
        <v>64</v>
      </c>
      <c r="F31" s="3" t="n">
        <v>200</v>
      </c>
      <c r="G31" s="2" t="s">
        <v>73</v>
      </c>
      <c r="H31" s="4"/>
      <c r="I31" s="4"/>
      <c r="J31" s="2"/>
      <c r="K31" s="5" t="n">
        <v>46203</v>
      </c>
      <c r="L31" s="3"/>
      <c r="M31" s="3"/>
      <c r="N31" s="3" t="n">
        <v>6</v>
      </c>
      <c r="O31" s="3" t="n">
        <v>51</v>
      </c>
      <c r="P31" s="2" t="s">
        <v>95</v>
      </c>
      <c r="Q31" s="2" t="s">
        <v>96</v>
      </c>
      <c r="R31" s="2" t="s">
        <v>97</v>
      </c>
      <c r="S31" s="5" t="n">
        <v>46205</v>
      </c>
      <c r="T31" s="2" t="s">
        <v>55</v>
      </c>
      <c r="U31" s="2"/>
      <c r="V31" s="2" t="s">
        <v>98</v>
      </c>
      <c r="W31" s="2" t="s">
        <v>99</v>
      </c>
      <c r="X31" s="2"/>
      <c r="Y31" s="2"/>
      <c r="Z31" s="2" t="s">
        <v>100</v>
      </c>
      <c r="AA31" s="2" t="s">
        <v>101</v>
      </c>
      <c r="AB31" s="3" t="n">
        <v>1442301</v>
      </c>
      <c r="AC31" s="2" t="s">
        <v>66</v>
      </c>
      <c r="AD31" s="2" t="s">
        <v>67</v>
      </c>
      <c r="AE31" s="2" t="s">
        <v>37</v>
      </c>
    </row>
    <row r="32" customFormat="false" ht="15" hidden="false" customHeight="false" outlineLevel="0" collapsed="false">
      <c r="A32" s="2" t="s">
        <v>93</v>
      </c>
      <c r="B32" s="2" t="s">
        <v>94</v>
      </c>
      <c r="C32" s="3" t="n">
        <v>73</v>
      </c>
      <c r="D32" s="2" t="s">
        <v>63</v>
      </c>
      <c r="E32" s="2" t="s">
        <v>64</v>
      </c>
      <c r="F32" s="3" t="n">
        <v>200</v>
      </c>
      <c r="G32" s="2" t="s">
        <v>73</v>
      </c>
      <c r="H32" s="4"/>
      <c r="I32" s="4"/>
      <c r="J32" s="2"/>
      <c r="K32" s="5" t="n">
        <v>46203</v>
      </c>
      <c r="L32" s="3"/>
      <c r="M32" s="3"/>
      <c r="N32" s="3" t="n">
        <v>5</v>
      </c>
      <c r="O32" s="3" t="n">
        <v>46</v>
      </c>
      <c r="P32" s="2" t="s">
        <v>85</v>
      </c>
      <c r="Q32" s="2" t="s">
        <v>86</v>
      </c>
      <c r="R32" s="2" t="s">
        <v>87</v>
      </c>
      <c r="S32" s="5" t="n">
        <v>46209</v>
      </c>
      <c r="T32" s="2" t="s">
        <v>51</v>
      </c>
      <c r="U32" s="5" t="n">
        <v>46212</v>
      </c>
      <c r="V32" s="2" t="s">
        <v>88</v>
      </c>
      <c r="W32" s="2" t="s">
        <v>89</v>
      </c>
      <c r="X32" s="2"/>
      <c r="Y32" s="2"/>
      <c r="Z32" s="2"/>
      <c r="AA32" s="2"/>
      <c r="AB32" s="3" t="n">
        <v>1442301</v>
      </c>
      <c r="AC32" s="2" t="s">
        <v>66</v>
      </c>
      <c r="AD32" s="2" t="s">
        <v>67</v>
      </c>
      <c r="AE32" s="2" t="s">
        <v>37</v>
      </c>
    </row>
    <row r="33" customFormat="false" ht="15" hidden="false" customHeight="false" outlineLevel="0" collapsed="false">
      <c r="A33" s="2" t="s">
        <v>102</v>
      </c>
      <c r="B33" s="2" t="s">
        <v>103</v>
      </c>
      <c r="C33" s="3" t="n">
        <v>4</v>
      </c>
      <c r="D33" s="2" t="s">
        <v>104</v>
      </c>
      <c r="E33" s="2" t="s">
        <v>105</v>
      </c>
      <c r="F33" s="3" t="n">
        <v>1000</v>
      </c>
      <c r="G33" s="2" t="s">
        <v>73</v>
      </c>
      <c r="H33" s="4" t="n">
        <v>482.85</v>
      </c>
      <c r="I33" s="4" t="n">
        <v>482850</v>
      </c>
      <c r="J33" s="5" t="n">
        <v>46185</v>
      </c>
      <c r="K33" s="2"/>
      <c r="L33" s="3" t="n">
        <v>4</v>
      </c>
      <c r="M33" s="3"/>
      <c r="N33" s="3"/>
      <c r="O33" s="3" t="n">
        <v>4</v>
      </c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3" t="n">
        <v>1442301</v>
      </c>
      <c r="AC33" s="2" t="s">
        <v>66</v>
      </c>
      <c r="AD33" s="2" t="s">
        <v>67</v>
      </c>
      <c r="AE33" s="2" t="s">
        <v>37</v>
      </c>
    </row>
    <row r="34" customFormat="false" ht="15" hidden="false" customHeight="false" outlineLevel="0" collapsed="false">
      <c r="A34" s="2" t="s">
        <v>102</v>
      </c>
      <c r="B34" s="2" t="s">
        <v>103</v>
      </c>
      <c r="C34" s="3" t="n">
        <v>4</v>
      </c>
      <c r="D34" s="2" t="s">
        <v>104</v>
      </c>
      <c r="E34" s="2" t="s">
        <v>105</v>
      </c>
      <c r="F34" s="3" t="n">
        <v>1000</v>
      </c>
      <c r="G34" s="2" t="s">
        <v>73</v>
      </c>
      <c r="H34" s="4" t="n">
        <v>482.85</v>
      </c>
      <c r="I34" s="4" t="n">
        <v>482850</v>
      </c>
      <c r="J34" s="2"/>
      <c r="K34" s="5" t="n">
        <v>46192</v>
      </c>
      <c r="L34" s="3"/>
      <c r="M34" s="3"/>
      <c r="N34" s="3" t="n">
        <v>1</v>
      </c>
      <c r="O34" s="3" t="n">
        <v>3</v>
      </c>
      <c r="P34" s="2"/>
      <c r="Q34" s="2" t="s">
        <v>68</v>
      </c>
      <c r="R34" s="2" t="s">
        <v>69</v>
      </c>
      <c r="S34" s="5" t="n">
        <v>46192</v>
      </c>
      <c r="T34" s="2" t="s">
        <v>51</v>
      </c>
      <c r="U34" s="5" t="n">
        <v>46192</v>
      </c>
      <c r="V34" s="2"/>
      <c r="W34" s="2" t="s">
        <v>70</v>
      </c>
      <c r="X34" s="2"/>
      <c r="Y34" s="2"/>
      <c r="Z34" s="2"/>
      <c r="AA34" s="2"/>
      <c r="AB34" s="3" t="n">
        <v>1442301</v>
      </c>
      <c r="AC34" s="2" t="s">
        <v>66</v>
      </c>
      <c r="AD34" s="2" t="s">
        <v>67</v>
      </c>
      <c r="AE34" s="2" t="s">
        <v>37</v>
      </c>
    </row>
    <row r="35" customFormat="false" ht="15" hidden="false" customHeight="false" outlineLevel="0" collapsed="false">
      <c r="A35" s="2" t="s">
        <v>102</v>
      </c>
      <c r="B35" s="2" t="s">
        <v>103</v>
      </c>
      <c r="C35" s="3" t="n">
        <v>4</v>
      </c>
      <c r="D35" s="2" t="s">
        <v>104</v>
      </c>
      <c r="E35" s="2" t="s">
        <v>105</v>
      </c>
      <c r="F35" s="3" t="n">
        <v>1000</v>
      </c>
      <c r="G35" s="2" t="s">
        <v>73</v>
      </c>
      <c r="H35" s="4" t="n">
        <v>482.85</v>
      </c>
      <c r="I35" s="4" t="n">
        <v>482850</v>
      </c>
      <c r="J35" s="2"/>
      <c r="K35" s="5" t="n">
        <v>46203</v>
      </c>
      <c r="L35" s="3"/>
      <c r="M35" s="3"/>
      <c r="N35" s="3" t="n">
        <v>1</v>
      </c>
      <c r="O35" s="3" t="n">
        <v>2</v>
      </c>
      <c r="P35" s="2" t="s">
        <v>95</v>
      </c>
      <c r="Q35" s="2" t="s">
        <v>96</v>
      </c>
      <c r="R35" s="2" t="s">
        <v>97</v>
      </c>
      <c r="S35" s="5" t="n">
        <v>46205</v>
      </c>
      <c r="T35" s="2" t="s">
        <v>55</v>
      </c>
      <c r="U35" s="2"/>
      <c r="V35" s="2" t="s">
        <v>98</v>
      </c>
      <c r="W35" s="2" t="s">
        <v>99</v>
      </c>
      <c r="X35" s="2"/>
      <c r="Y35" s="2"/>
      <c r="Z35" s="2" t="s">
        <v>100</v>
      </c>
      <c r="AA35" s="2" t="s">
        <v>101</v>
      </c>
      <c r="AB35" s="3" t="n">
        <v>1442301</v>
      </c>
      <c r="AC35" s="2" t="s">
        <v>66</v>
      </c>
      <c r="AD35" s="2" t="s">
        <v>67</v>
      </c>
      <c r="AE35" s="2" t="s">
        <v>37</v>
      </c>
    </row>
    <row r="36" customFormat="false" ht="15" hidden="false" customHeight="false" outlineLevel="0" collapsed="false">
      <c r="A36" s="2" t="s">
        <v>106</v>
      </c>
      <c r="B36" s="2" t="s">
        <v>107</v>
      </c>
      <c r="C36" s="3" t="n">
        <v>30</v>
      </c>
      <c r="D36" s="2" t="s">
        <v>63</v>
      </c>
      <c r="E36" s="2" t="s">
        <v>64</v>
      </c>
      <c r="F36" s="3" t="n">
        <v>100</v>
      </c>
      <c r="G36" s="2" t="s">
        <v>73</v>
      </c>
      <c r="H36" s="4" t="n">
        <v>222</v>
      </c>
      <c r="I36" s="4" t="n">
        <v>222</v>
      </c>
      <c r="J36" s="5" t="n">
        <v>46185</v>
      </c>
      <c r="K36" s="2"/>
      <c r="L36" s="3" t="n">
        <v>30</v>
      </c>
      <c r="M36" s="3"/>
      <c r="N36" s="3"/>
      <c r="O36" s="3" t="n">
        <v>30</v>
      </c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3" t="n">
        <v>1442301</v>
      </c>
      <c r="AC36" s="2" t="s">
        <v>66</v>
      </c>
      <c r="AD36" s="2" t="s">
        <v>67</v>
      </c>
      <c r="AE36" s="2" t="s">
        <v>37</v>
      </c>
    </row>
    <row r="37" customFormat="false" ht="15" hidden="false" customHeight="false" outlineLevel="0" collapsed="false">
      <c r="A37" s="2" t="s">
        <v>106</v>
      </c>
      <c r="B37" s="2" t="s">
        <v>107</v>
      </c>
      <c r="C37" s="3" t="n">
        <v>30</v>
      </c>
      <c r="D37" s="2" t="s">
        <v>63</v>
      </c>
      <c r="E37" s="2" t="s">
        <v>64</v>
      </c>
      <c r="F37" s="3" t="n">
        <v>100</v>
      </c>
      <c r="G37" s="2" t="s">
        <v>73</v>
      </c>
      <c r="H37" s="4" t="n">
        <v>222</v>
      </c>
      <c r="I37" s="4" t="n">
        <v>222</v>
      </c>
      <c r="J37" s="2"/>
      <c r="K37" s="5" t="n">
        <v>46192</v>
      </c>
      <c r="L37" s="3"/>
      <c r="M37" s="3"/>
      <c r="N37" s="3" t="n">
        <v>1</v>
      </c>
      <c r="O37" s="3" t="n">
        <v>29</v>
      </c>
      <c r="P37" s="2"/>
      <c r="Q37" s="2" t="s">
        <v>68</v>
      </c>
      <c r="R37" s="2" t="s">
        <v>69</v>
      </c>
      <c r="S37" s="5" t="n">
        <v>46192</v>
      </c>
      <c r="T37" s="2" t="s">
        <v>51</v>
      </c>
      <c r="U37" s="5" t="n">
        <v>46192</v>
      </c>
      <c r="V37" s="2"/>
      <c r="W37" s="2" t="s">
        <v>70</v>
      </c>
      <c r="X37" s="2"/>
      <c r="Y37" s="2"/>
      <c r="Z37" s="2"/>
      <c r="AA37" s="2"/>
      <c r="AB37" s="3" t="n">
        <v>1442301</v>
      </c>
      <c r="AC37" s="2" t="s">
        <v>66</v>
      </c>
      <c r="AD37" s="2" t="s">
        <v>67</v>
      </c>
      <c r="AE37" s="2" t="s">
        <v>37</v>
      </c>
    </row>
    <row r="38" customFormat="false" ht="15" hidden="false" customHeight="false" outlineLevel="0" collapsed="false">
      <c r="A38" s="2" t="s">
        <v>106</v>
      </c>
      <c r="B38" s="2" t="s">
        <v>107</v>
      </c>
      <c r="C38" s="3" t="n">
        <v>30</v>
      </c>
      <c r="D38" s="2" t="s">
        <v>63</v>
      </c>
      <c r="E38" s="2" t="s">
        <v>64</v>
      </c>
      <c r="F38" s="3" t="n">
        <v>100</v>
      </c>
      <c r="G38" s="2" t="s">
        <v>73</v>
      </c>
      <c r="H38" s="4" t="n">
        <v>222</v>
      </c>
      <c r="I38" s="4" t="n">
        <v>222</v>
      </c>
      <c r="J38" s="2"/>
      <c r="K38" s="5" t="n">
        <v>46191</v>
      </c>
      <c r="L38" s="3"/>
      <c r="M38" s="3"/>
      <c r="N38" s="3" t="n">
        <v>1</v>
      </c>
      <c r="O38" s="3" t="n">
        <v>28</v>
      </c>
      <c r="P38" s="2" t="s">
        <v>108</v>
      </c>
      <c r="Q38" s="2" t="s">
        <v>109</v>
      </c>
      <c r="R38" s="2" t="s">
        <v>110</v>
      </c>
      <c r="S38" s="5" t="n">
        <v>46191</v>
      </c>
      <c r="T38" s="2" t="s">
        <v>55</v>
      </c>
      <c r="U38" s="5" t="n">
        <v>46193</v>
      </c>
      <c r="V38" s="2" t="s">
        <v>111</v>
      </c>
      <c r="W38" s="2" t="s">
        <v>112</v>
      </c>
      <c r="X38" s="2"/>
      <c r="Y38" s="2"/>
      <c r="Z38" s="2"/>
      <c r="AA38" s="2"/>
      <c r="AB38" s="3" t="n">
        <v>1442301</v>
      </c>
      <c r="AC38" s="2" t="s">
        <v>66</v>
      </c>
      <c r="AD38" s="2" t="s">
        <v>67</v>
      </c>
      <c r="AE38" s="2" t="s">
        <v>37</v>
      </c>
    </row>
    <row r="39" customFormat="false" ht="15" hidden="false" customHeight="false" outlineLevel="0" collapsed="false">
      <c r="A39" s="2" t="s">
        <v>113</v>
      </c>
      <c r="B39" s="2" t="s">
        <v>114</v>
      </c>
      <c r="C39" s="3" t="n">
        <v>99</v>
      </c>
      <c r="D39" s="2" t="s">
        <v>33</v>
      </c>
      <c r="E39" s="2" t="s">
        <v>34</v>
      </c>
      <c r="F39" s="3" t="n">
        <v>100</v>
      </c>
      <c r="G39" s="2" t="s">
        <v>73</v>
      </c>
      <c r="H39" s="4" t="n">
        <v>1387.5</v>
      </c>
      <c r="I39" s="4" t="n">
        <v>1387.5</v>
      </c>
      <c r="J39" s="5" t="n">
        <v>46185</v>
      </c>
      <c r="K39" s="2"/>
      <c r="L39" s="3" t="n">
        <v>99</v>
      </c>
      <c r="M39" s="3"/>
      <c r="N39" s="3"/>
      <c r="O39" s="3" t="n">
        <v>99</v>
      </c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3" t="n">
        <v>1442301</v>
      </c>
      <c r="AC39" s="2" t="s">
        <v>66</v>
      </c>
      <c r="AD39" s="2" t="s">
        <v>67</v>
      </c>
      <c r="AE39" s="2" t="s">
        <v>37</v>
      </c>
    </row>
    <row r="40" customFormat="false" ht="15" hidden="false" customHeight="false" outlineLevel="0" collapsed="false">
      <c r="A40" s="2" t="s">
        <v>113</v>
      </c>
      <c r="B40" s="2" t="s">
        <v>114</v>
      </c>
      <c r="C40" s="3" t="n">
        <v>99</v>
      </c>
      <c r="D40" s="2" t="s">
        <v>33</v>
      </c>
      <c r="E40" s="2" t="s">
        <v>34</v>
      </c>
      <c r="F40" s="3" t="n">
        <v>100</v>
      </c>
      <c r="G40" s="2" t="s">
        <v>73</v>
      </c>
      <c r="H40" s="4" t="n">
        <v>1387.5</v>
      </c>
      <c r="I40" s="4" t="n">
        <v>1387.5</v>
      </c>
      <c r="J40" s="2"/>
      <c r="K40" s="5" t="n">
        <v>46192</v>
      </c>
      <c r="L40" s="3"/>
      <c r="M40" s="3"/>
      <c r="N40" s="3" t="n">
        <v>1</v>
      </c>
      <c r="O40" s="3" t="n">
        <v>98</v>
      </c>
      <c r="P40" s="2"/>
      <c r="Q40" s="2" t="s">
        <v>68</v>
      </c>
      <c r="R40" s="2" t="s">
        <v>69</v>
      </c>
      <c r="S40" s="5" t="n">
        <v>46192</v>
      </c>
      <c r="T40" s="2" t="s">
        <v>51</v>
      </c>
      <c r="U40" s="5" t="n">
        <v>46192</v>
      </c>
      <c r="V40" s="2"/>
      <c r="W40" s="2" t="s">
        <v>70</v>
      </c>
      <c r="X40" s="2"/>
      <c r="Y40" s="2"/>
      <c r="Z40" s="2"/>
      <c r="AA40" s="2"/>
      <c r="AB40" s="3" t="n">
        <v>1442301</v>
      </c>
      <c r="AC40" s="2" t="s">
        <v>66</v>
      </c>
      <c r="AD40" s="2" t="s">
        <v>67</v>
      </c>
      <c r="AE40" s="2" t="s">
        <v>37</v>
      </c>
    </row>
    <row r="41" customFormat="false" ht="15" hidden="false" customHeight="false" outlineLevel="0" collapsed="false">
      <c r="A41" s="2" t="s">
        <v>115</v>
      </c>
      <c r="B41" s="2" t="s">
        <v>116</v>
      </c>
      <c r="C41" s="3" t="n">
        <v>1</v>
      </c>
      <c r="D41" s="2" t="s">
        <v>63</v>
      </c>
      <c r="E41" s="2" t="s">
        <v>64</v>
      </c>
      <c r="F41" s="3" t="n">
        <v>100</v>
      </c>
      <c r="G41" s="2" t="s">
        <v>73</v>
      </c>
      <c r="H41" s="4" t="n">
        <v>1249.86</v>
      </c>
      <c r="I41" s="4" t="n">
        <v>1249.86</v>
      </c>
      <c r="J41" s="5" t="n">
        <v>46185</v>
      </c>
      <c r="K41" s="2"/>
      <c r="L41" s="3" t="n">
        <v>1</v>
      </c>
      <c r="M41" s="3"/>
      <c r="N41" s="3"/>
      <c r="O41" s="3" t="n">
        <v>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3" t="n">
        <v>1442301</v>
      </c>
      <c r="AC41" s="2" t="s">
        <v>66</v>
      </c>
      <c r="AD41" s="2" t="s">
        <v>67</v>
      </c>
      <c r="AE41" s="2" t="s">
        <v>37</v>
      </c>
    </row>
    <row r="42" customFormat="false" ht="15" hidden="false" customHeight="false" outlineLevel="0" collapsed="false">
      <c r="A42" s="2" t="s">
        <v>115</v>
      </c>
      <c r="B42" s="2" t="s">
        <v>116</v>
      </c>
      <c r="C42" s="3" t="n">
        <v>1</v>
      </c>
      <c r="D42" s="2" t="s">
        <v>63</v>
      </c>
      <c r="E42" s="2" t="s">
        <v>64</v>
      </c>
      <c r="F42" s="3" t="n">
        <v>100</v>
      </c>
      <c r="G42" s="2" t="s">
        <v>73</v>
      </c>
      <c r="H42" s="4" t="n">
        <v>1249.86</v>
      </c>
      <c r="I42" s="4" t="n">
        <v>1249.86</v>
      </c>
      <c r="J42" s="2"/>
      <c r="K42" s="5" t="n">
        <v>46192</v>
      </c>
      <c r="L42" s="3"/>
      <c r="M42" s="3"/>
      <c r="N42" s="3" t="n">
        <v>1</v>
      </c>
      <c r="O42" s="3"/>
      <c r="P42" s="2"/>
      <c r="Q42" s="2" t="s">
        <v>68</v>
      </c>
      <c r="R42" s="2" t="s">
        <v>69</v>
      </c>
      <c r="S42" s="5" t="n">
        <v>46192</v>
      </c>
      <c r="T42" s="2" t="s">
        <v>51</v>
      </c>
      <c r="U42" s="5" t="n">
        <v>46192</v>
      </c>
      <c r="V42" s="2"/>
      <c r="W42" s="2" t="s">
        <v>70</v>
      </c>
      <c r="X42" s="2"/>
      <c r="Y42" s="2"/>
      <c r="Z42" s="2"/>
      <c r="AA42" s="2"/>
      <c r="AB42" s="3" t="n">
        <v>1442301</v>
      </c>
      <c r="AC42" s="2" t="s">
        <v>66</v>
      </c>
      <c r="AD42" s="2" t="s">
        <v>67</v>
      </c>
      <c r="AE42" s="2" t="s">
        <v>37</v>
      </c>
    </row>
    <row r="43" customFormat="false" ht="15" hidden="false" customHeight="false" outlineLevel="0" collapsed="false">
      <c r="A43" s="2" t="s">
        <v>117</v>
      </c>
      <c r="B43" s="2" t="s">
        <v>118</v>
      </c>
      <c r="C43" s="3" t="n">
        <v>42</v>
      </c>
      <c r="D43" s="2" t="s">
        <v>63</v>
      </c>
      <c r="E43" s="2" t="s">
        <v>64</v>
      </c>
      <c r="F43" s="3" t="n">
        <v>100</v>
      </c>
      <c r="G43" s="2" t="s">
        <v>73</v>
      </c>
      <c r="H43" s="4" t="n">
        <v>112.11</v>
      </c>
      <c r="I43" s="4" t="n">
        <v>112.11</v>
      </c>
      <c r="J43" s="5" t="n">
        <v>46185</v>
      </c>
      <c r="K43" s="2"/>
      <c r="L43" s="3" t="n">
        <v>42</v>
      </c>
      <c r="M43" s="3"/>
      <c r="N43" s="3"/>
      <c r="O43" s="3" t="n">
        <v>42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3" t="n">
        <v>1442301</v>
      </c>
      <c r="AC43" s="2" t="s">
        <v>66</v>
      </c>
      <c r="AD43" s="2" t="s">
        <v>67</v>
      </c>
      <c r="AE43" s="2" t="s">
        <v>37</v>
      </c>
    </row>
    <row r="44" customFormat="false" ht="15" hidden="false" customHeight="false" outlineLevel="0" collapsed="false">
      <c r="A44" s="2" t="s">
        <v>117</v>
      </c>
      <c r="B44" s="2" t="s">
        <v>118</v>
      </c>
      <c r="C44" s="3" t="n">
        <v>42</v>
      </c>
      <c r="D44" s="2" t="s">
        <v>63</v>
      </c>
      <c r="E44" s="2" t="s">
        <v>64</v>
      </c>
      <c r="F44" s="3" t="n">
        <v>100</v>
      </c>
      <c r="G44" s="2" t="s">
        <v>73</v>
      </c>
      <c r="H44" s="4" t="n">
        <v>112.11</v>
      </c>
      <c r="I44" s="4" t="n">
        <v>112.11</v>
      </c>
      <c r="J44" s="2"/>
      <c r="K44" s="5" t="n">
        <v>46192</v>
      </c>
      <c r="L44" s="3"/>
      <c r="M44" s="3"/>
      <c r="N44" s="3" t="n">
        <v>1</v>
      </c>
      <c r="O44" s="3" t="n">
        <v>41</v>
      </c>
      <c r="P44" s="2"/>
      <c r="Q44" s="2" t="s">
        <v>68</v>
      </c>
      <c r="R44" s="2" t="s">
        <v>69</v>
      </c>
      <c r="S44" s="5" t="n">
        <v>46192</v>
      </c>
      <c r="T44" s="2" t="s">
        <v>51</v>
      </c>
      <c r="U44" s="5" t="n">
        <v>46192</v>
      </c>
      <c r="V44" s="2"/>
      <c r="W44" s="2" t="s">
        <v>70</v>
      </c>
      <c r="X44" s="2"/>
      <c r="Y44" s="2"/>
      <c r="Z44" s="2"/>
      <c r="AA44" s="2"/>
      <c r="AB44" s="3" t="n">
        <v>1442301</v>
      </c>
      <c r="AC44" s="2" t="s">
        <v>66</v>
      </c>
      <c r="AD44" s="2" t="s">
        <v>67</v>
      </c>
      <c r="AE44" s="2" t="s">
        <v>37</v>
      </c>
    </row>
    <row r="45" customFormat="false" ht="15" hidden="false" customHeight="false" outlineLevel="0" collapsed="false">
      <c r="A45" s="2" t="s">
        <v>117</v>
      </c>
      <c r="B45" s="2" t="s">
        <v>118</v>
      </c>
      <c r="C45" s="3" t="n">
        <v>42</v>
      </c>
      <c r="D45" s="2" t="s">
        <v>63</v>
      </c>
      <c r="E45" s="2" t="s">
        <v>64</v>
      </c>
      <c r="F45" s="3" t="n">
        <v>100</v>
      </c>
      <c r="G45" s="2" t="s">
        <v>73</v>
      </c>
      <c r="H45" s="4" t="n">
        <v>112.11</v>
      </c>
      <c r="I45" s="4" t="n">
        <v>112.11</v>
      </c>
      <c r="J45" s="2"/>
      <c r="K45" s="5" t="n">
        <v>46191</v>
      </c>
      <c r="L45" s="3"/>
      <c r="M45" s="3"/>
      <c r="N45" s="3" t="n">
        <v>2</v>
      </c>
      <c r="O45" s="3" t="n">
        <v>39</v>
      </c>
      <c r="P45" s="2" t="s">
        <v>108</v>
      </c>
      <c r="Q45" s="2" t="s">
        <v>109</v>
      </c>
      <c r="R45" s="2" t="s">
        <v>110</v>
      </c>
      <c r="S45" s="5" t="n">
        <v>46191</v>
      </c>
      <c r="T45" s="2" t="s">
        <v>55</v>
      </c>
      <c r="U45" s="5" t="n">
        <v>46193</v>
      </c>
      <c r="V45" s="2" t="s">
        <v>111</v>
      </c>
      <c r="W45" s="2" t="s">
        <v>112</v>
      </c>
      <c r="X45" s="2"/>
      <c r="Y45" s="2"/>
      <c r="Z45" s="2"/>
      <c r="AA45" s="2"/>
      <c r="AB45" s="3" t="n">
        <v>1442301</v>
      </c>
      <c r="AC45" s="2" t="s">
        <v>66</v>
      </c>
      <c r="AD45" s="2" t="s">
        <v>67</v>
      </c>
      <c r="AE45" s="2" t="s">
        <v>37</v>
      </c>
    </row>
    <row r="46" customFormat="false" ht="15" hidden="false" customHeight="false" outlineLevel="0" collapsed="false">
      <c r="A46" s="2" t="s">
        <v>119</v>
      </c>
      <c r="B46" s="2" t="s">
        <v>120</v>
      </c>
      <c r="C46" s="3" t="n">
        <v>8</v>
      </c>
      <c r="D46" s="2" t="s">
        <v>63</v>
      </c>
      <c r="E46" s="2" t="s">
        <v>64</v>
      </c>
      <c r="F46" s="3" t="n">
        <v>100</v>
      </c>
      <c r="G46" s="2" t="s">
        <v>73</v>
      </c>
      <c r="H46" s="4" t="n">
        <v>438.45</v>
      </c>
      <c r="I46" s="4" t="n">
        <v>438.45</v>
      </c>
      <c r="J46" s="5" t="n">
        <v>46185</v>
      </c>
      <c r="K46" s="2"/>
      <c r="L46" s="3" t="n">
        <v>8</v>
      </c>
      <c r="M46" s="3"/>
      <c r="N46" s="3"/>
      <c r="O46" s="3" t="n">
        <v>8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3" t="n">
        <v>1442301</v>
      </c>
      <c r="AC46" s="2" t="s">
        <v>66</v>
      </c>
      <c r="AD46" s="2" t="s">
        <v>67</v>
      </c>
      <c r="AE46" s="2" t="s">
        <v>37</v>
      </c>
    </row>
    <row r="47" customFormat="false" ht="15" hidden="false" customHeight="false" outlineLevel="0" collapsed="false">
      <c r="A47" s="2" t="s">
        <v>119</v>
      </c>
      <c r="B47" s="2" t="s">
        <v>120</v>
      </c>
      <c r="C47" s="3" t="n">
        <v>8</v>
      </c>
      <c r="D47" s="2" t="s">
        <v>63</v>
      </c>
      <c r="E47" s="2" t="s">
        <v>64</v>
      </c>
      <c r="F47" s="3" t="n">
        <v>100</v>
      </c>
      <c r="G47" s="2" t="s">
        <v>73</v>
      </c>
      <c r="H47" s="4" t="n">
        <v>438.45</v>
      </c>
      <c r="I47" s="4" t="n">
        <v>438.45</v>
      </c>
      <c r="J47" s="2"/>
      <c r="K47" s="5" t="n">
        <v>46192</v>
      </c>
      <c r="L47" s="3"/>
      <c r="M47" s="3"/>
      <c r="N47" s="3" t="n">
        <v>1</v>
      </c>
      <c r="O47" s="3" t="n">
        <v>7</v>
      </c>
      <c r="P47" s="2"/>
      <c r="Q47" s="2" t="s">
        <v>68</v>
      </c>
      <c r="R47" s="2" t="s">
        <v>69</v>
      </c>
      <c r="S47" s="5" t="n">
        <v>46192</v>
      </c>
      <c r="T47" s="2" t="s">
        <v>51</v>
      </c>
      <c r="U47" s="5" t="n">
        <v>46192</v>
      </c>
      <c r="V47" s="2"/>
      <c r="W47" s="2" t="s">
        <v>70</v>
      </c>
      <c r="X47" s="2"/>
      <c r="Y47" s="2"/>
      <c r="Z47" s="2"/>
      <c r="AA47" s="2"/>
      <c r="AB47" s="3" t="n">
        <v>1442301</v>
      </c>
      <c r="AC47" s="2" t="s">
        <v>66</v>
      </c>
      <c r="AD47" s="2" t="s">
        <v>67</v>
      </c>
      <c r="AE47" s="2" t="s">
        <v>37</v>
      </c>
    </row>
    <row r="48" customFormat="false" ht="15" hidden="false" customHeight="false" outlineLevel="0" collapsed="false">
      <c r="A48" s="2" t="s">
        <v>121</v>
      </c>
      <c r="B48" s="2" t="s">
        <v>122</v>
      </c>
      <c r="C48" s="3" t="n">
        <v>107</v>
      </c>
      <c r="D48" s="2" t="s">
        <v>63</v>
      </c>
      <c r="E48" s="2" t="s">
        <v>64</v>
      </c>
      <c r="F48" s="3" t="n">
        <v>250</v>
      </c>
      <c r="G48" s="2" t="s">
        <v>73</v>
      </c>
      <c r="H48" s="4" t="n">
        <v>72.15</v>
      </c>
      <c r="I48" s="4" t="n">
        <v>72.15</v>
      </c>
      <c r="J48" s="5" t="n">
        <v>46185</v>
      </c>
      <c r="K48" s="2"/>
      <c r="L48" s="3" t="n">
        <v>107</v>
      </c>
      <c r="M48" s="3"/>
      <c r="N48" s="3"/>
      <c r="O48" s="3" t="n">
        <v>107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3" t="n">
        <v>1442301</v>
      </c>
      <c r="AC48" s="2" t="s">
        <v>66</v>
      </c>
      <c r="AD48" s="2" t="s">
        <v>67</v>
      </c>
      <c r="AE48" s="2" t="s">
        <v>37</v>
      </c>
    </row>
    <row r="49" customFormat="false" ht="15" hidden="false" customHeight="false" outlineLevel="0" collapsed="false">
      <c r="A49" s="2" t="s">
        <v>121</v>
      </c>
      <c r="B49" s="2" t="s">
        <v>122</v>
      </c>
      <c r="C49" s="3" t="n">
        <v>107</v>
      </c>
      <c r="D49" s="2" t="s">
        <v>63</v>
      </c>
      <c r="E49" s="2" t="s">
        <v>64</v>
      </c>
      <c r="F49" s="3" t="n">
        <v>250</v>
      </c>
      <c r="G49" s="2" t="s">
        <v>73</v>
      </c>
      <c r="H49" s="4" t="n">
        <v>72.15</v>
      </c>
      <c r="I49" s="4" t="n">
        <v>72.15</v>
      </c>
      <c r="J49" s="2"/>
      <c r="K49" s="5" t="n">
        <v>46188</v>
      </c>
      <c r="L49" s="3"/>
      <c r="M49" s="3"/>
      <c r="N49" s="3" t="n">
        <v>3</v>
      </c>
      <c r="O49" s="3" t="n">
        <v>104</v>
      </c>
      <c r="P49" s="2" t="s">
        <v>123</v>
      </c>
      <c r="Q49" s="2" t="s">
        <v>124</v>
      </c>
      <c r="R49" s="2" t="s">
        <v>125</v>
      </c>
      <c r="S49" s="5" t="n">
        <v>46190</v>
      </c>
      <c r="T49" s="2" t="s">
        <v>55</v>
      </c>
      <c r="U49" s="5" t="n">
        <v>46192</v>
      </c>
      <c r="V49" s="2"/>
      <c r="W49" s="2"/>
      <c r="X49" s="2"/>
      <c r="Y49" s="2"/>
      <c r="Z49" s="2"/>
      <c r="AA49" s="2"/>
      <c r="AB49" s="3" t="n">
        <v>1442301</v>
      </c>
      <c r="AC49" s="2" t="s">
        <v>66</v>
      </c>
      <c r="AD49" s="2" t="s">
        <v>67</v>
      </c>
      <c r="AE49" s="2" t="s">
        <v>37</v>
      </c>
    </row>
    <row r="50" customFormat="false" ht="15" hidden="false" customHeight="false" outlineLevel="0" collapsed="false">
      <c r="A50" s="2" t="s">
        <v>121</v>
      </c>
      <c r="B50" s="2" t="s">
        <v>122</v>
      </c>
      <c r="C50" s="3" t="n">
        <v>107</v>
      </c>
      <c r="D50" s="2" t="s">
        <v>63</v>
      </c>
      <c r="E50" s="2" t="s">
        <v>64</v>
      </c>
      <c r="F50" s="3" t="n">
        <v>250</v>
      </c>
      <c r="G50" s="2" t="s">
        <v>73</v>
      </c>
      <c r="H50" s="4" t="n">
        <v>72.15</v>
      </c>
      <c r="I50" s="4" t="n">
        <v>72.15</v>
      </c>
      <c r="J50" s="2"/>
      <c r="K50" s="5" t="n">
        <v>46192</v>
      </c>
      <c r="L50" s="3"/>
      <c r="M50" s="3"/>
      <c r="N50" s="3" t="n">
        <v>2</v>
      </c>
      <c r="O50" s="3" t="n">
        <v>102</v>
      </c>
      <c r="P50" s="2"/>
      <c r="Q50" s="2" t="s">
        <v>68</v>
      </c>
      <c r="R50" s="2" t="s">
        <v>69</v>
      </c>
      <c r="S50" s="5" t="n">
        <v>46192</v>
      </c>
      <c r="T50" s="2" t="s">
        <v>51</v>
      </c>
      <c r="U50" s="5" t="n">
        <v>46192</v>
      </c>
      <c r="V50" s="2"/>
      <c r="W50" s="2" t="s">
        <v>70</v>
      </c>
      <c r="X50" s="2"/>
      <c r="Y50" s="2"/>
      <c r="Z50" s="2"/>
      <c r="AA50" s="2"/>
      <c r="AB50" s="3" t="n">
        <v>1442301</v>
      </c>
      <c r="AC50" s="2" t="s">
        <v>66</v>
      </c>
      <c r="AD50" s="2" t="s">
        <v>67</v>
      </c>
      <c r="AE50" s="2" t="s">
        <v>37</v>
      </c>
    </row>
    <row r="51" customFormat="false" ht="15" hidden="false" customHeight="false" outlineLevel="0" collapsed="false">
      <c r="A51" s="2" t="s">
        <v>121</v>
      </c>
      <c r="B51" s="2" t="s">
        <v>122</v>
      </c>
      <c r="C51" s="3" t="n">
        <v>107</v>
      </c>
      <c r="D51" s="2" t="s">
        <v>63</v>
      </c>
      <c r="E51" s="2" t="s">
        <v>64</v>
      </c>
      <c r="F51" s="3" t="n">
        <v>250</v>
      </c>
      <c r="G51" s="2" t="s">
        <v>73</v>
      </c>
      <c r="H51" s="4" t="n">
        <v>72.15</v>
      </c>
      <c r="I51" s="4" t="n">
        <v>72.15</v>
      </c>
      <c r="J51" s="2"/>
      <c r="K51" s="5" t="n">
        <v>46203</v>
      </c>
      <c r="L51" s="3"/>
      <c r="M51" s="3"/>
      <c r="N51" s="3" t="n">
        <v>5</v>
      </c>
      <c r="O51" s="3" t="n">
        <v>97</v>
      </c>
      <c r="P51" s="2" t="s">
        <v>95</v>
      </c>
      <c r="Q51" s="2" t="s">
        <v>96</v>
      </c>
      <c r="R51" s="2" t="s">
        <v>97</v>
      </c>
      <c r="S51" s="5" t="n">
        <v>46205</v>
      </c>
      <c r="T51" s="2" t="s">
        <v>55</v>
      </c>
      <c r="U51" s="2"/>
      <c r="V51" s="2" t="s">
        <v>98</v>
      </c>
      <c r="W51" s="2" t="s">
        <v>99</v>
      </c>
      <c r="X51" s="2"/>
      <c r="Y51" s="2"/>
      <c r="Z51" s="2" t="s">
        <v>100</v>
      </c>
      <c r="AA51" s="2" t="s">
        <v>101</v>
      </c>
      <c r="AB51" s="3" t="n">
        <v>1442301</v>
      </c>
      <c r="AC51" s="2" t="s">
        <v>66</v>
      </c>
      <c r="AD51" s="2" t="s">
        <v>67</v>
      </c>
      <c r="AE51" s="2" t="s">
        <v>37</v>
      </c>
    </row>
    <row r="52" customFormat="false" ht="15" hidden="false" customHeight="false" outlineLevel="0" collapsed="false">
      <c r="A52" s="2" t="s">
        <v>121</v>
      </c>
      <c r="B52" s="2" t="s">
        <v>122</v>
      </c>
      <c r="C52" s="3" t="n">
        <v>107</v>
      </c>
      <c r="D52" s="2" t="s">
        <v>63</v>
      </c>
      <c r="E52" s="2" t="s">
        <v>64</v>
      </c>
      <c r="F52" s="3" t="n">
        <v>250</v>
      </c>
      <c r="G52" s="2" t="s">
        <v>73</v>
      </c>
      <c r="H52" s="4" t="n">
        <v>72.15</v>
      </c>
      <c r="I52" s="4" t="n">
        <v>72.15</v>
      </c>
      <c r="J52" s="5" t="n">
        <v>46212</v>
      </c>
      <c r="K52" s="2"/>
      <c r="L52" s="3"/>
      <c r="M52" s="3" t="n">
        <v>280</v>
      </c>
      <c r="N52" s="3"/>
      <c r="O52" s="3" t="n">
        <v>377</v>
      </c>
      <c r="P52" s="2" t="s">
        <v>126</v>
      </c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3" t="n">
        <v>1442301</v>
      </c>
      <c r="AC52" s="2" t="s">
        <v>66</v>
      </c>
      <c r="AD52" s="2" t="s">
        <v>67</v>
      </c>
      <c r="AE52" s="2" t="s">
        <v>37</v>
      </c>
    </row>
    <row r="53" customFormat="false" ht="15" hidden="false" customHeight="false" outlineLevel="0" collapsed="false">
      <c r="A53" s="2" t="s">
        <v>127</v>
      </c>
      <c r="B53" s="2" t="s">
        <v>128</v>
      </c>
      <c r="C53" s="3" t="n">
        <v>173</v>
      </c>
      <c r="D53" s="2" t="s">
        <v>63</v>
      </c>
      <c r="E53" s="2" t="s">
        <v>64</v>
      </c>
      <c r="F53" s="3" t="n">
        <v>250</v>
      </c>
      <c r="G53" s="2" t="s">
        <v>65</v>
      </c>
      <c r="H53" s="4" t="n">
        <v>117.6</v>
      </c>
      <c r="I53" s="4" t="n">
        <v>117.6</v>
      </c>
      <c r="J53" s="5" t="n">
        <v>46185</v>
      </c>
      <c r="K53" s="2"/>
      <c r="L53" s="3" t="n">
        <v>173</v>
      </c>
      <c r="M53" s="3"/>
      <c r="N53" s="3"/>
      <c r="O53" s="3" t="n">
        <v>173</v>
      </c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3" t="n">
        <v>1442301</v>
      </c>
      <c r="AC53" s="2" t="s">
        <v>66</v>
      </c>
      <c r="AD53" s="2" t="s">
        <v>67</v>
      </c>
      <c r="AE53" s="2" t="s">
        <v>37</v>
      </c>
    </row>
    <row r="54" customFormat="false" ht="15" hidden="false" customHeight="false" outlineLevel="0" collapsed="false">
      <c r="A54" s="2" t="s">
        <v>127</v>
      </c>
      <c r="B54" s="2" t="s">
        <v>128</v>
      </c>
      <c r="C54" s="3" t="n">
        <v>173</v>
      </c>
      <c r="D54" s="2" t="s">
        <v>63</v>
      </c>
      <c r="E54" s="2" t="s">
        <v>64</v>
      </c>
      <c r="F54" s="3" t="n">
        <v>250</v>
      </c>
      <c r="G54" s="2" t="s">
        <v>65</v>
      </c>
      <c r="H54" s="4" t="n">
        <v>117.6</v>
      </c>
      <c r="I54" s="4" t="n">
        <v>117.6</v>
      </c>
      <c r="J54" s="2"/>
      <c r="K54" s="5" t="n">
        <v>46188</v>
      </c>
      <c r="L54" s="3"/>
      <c r="M54" s="3"/>
      <c r="N54" s="3" t="n">
        <v>2</v>
      </c>
      <c r="O54" s="3" t="n">
        <v>171</v>
      </c>
      <c r="P54" s="2" t="s">
        <v>129</v>
      </c>
      <c r="Q54" s="2" t="s">
        <v>130</v>
      </c>
      <c r="R54" s="2" t="s">
        <v>131</v>
      </c>
      <c r="S54" s="5" t="n">
        <v>46190</v>
      </c>
      <c r="T54" s="2" t="s">
        <v>55</v>
      </c>
      <c r="U54" s="5" t="n">
        <v>46190</v>
      </c>
      <c r="V54" s="2"/>
      <c r="W54" s="2"/>
      <c r="X54" s="2"/>
      <c r="Y54" s="2"/>
      <c r="Z54" s="2"/>
      <c r="AA54" s="2"/>
      <c r="AB54" s="3" t="n">
        <v>1442301</v>
      </c>
      <c r="AC54" s="2" t="s">
        <v>66</v>
      </c>
      <c r="AD54" s="2" t="s">
        <v>67</v>
      </c>
      <c r="AE54" s="2" t="s">
        <v>37</v>
      </c>
    </row>
    <row r="55" customFormat="false" ht="15" hidden="false" customHeight="false" outlineLevel="0" collapsed="false">
      <c r="A55" s="2" t="s">
        <v>127</v>
      </c>
      <c r="B55" s="2" t="s">
        <v>128</v>
      </c>
      <c r="C55" s="3" t="n">
        <v>173</v>
      </c>
      <c r="D55" s="2" t="s">
        <v>63</v>
      </c>
      <c r="E55" s="2" t="s">
        <v>64</v>
      </c>
      <c r="F55" s="3" t="n">
        <v>250</v>
      </c>
      <c r="G55" s="2" t="s">
        <v>65</v>
      </c>
      <c r="H55" s="4" t="n">
        <v>117.6</v>
      </c>
      <c r="I55" s="4" t="n">
        <v>117.6</v>
      </c>
      <c r="J55" s="2"/>
      <c r="K55" s="5" t="n">
        <v>46191</v>
      </c>
      <c r="L55" s="3"/>
      <c r="M55" s="3"/>
      <c r="N55" s="3" t="n">
        <v>4</v>
      </c>
      <c r="O55" s="3" t="n">
        <v>167</v>
      </c>
      <c r="P55" s="2" t="s">
        <v>132</v>
      </c>
      <c r="Q55" s="2" t="s">
        <v>133</v>
      </c>
      <c r="R55" s="2" t="s">
        <v>134</v>
      </c>
      <c r="S55" s="5" t="n">
        <v>46191</v>
      </c>
      <c r="T55" s="2" t="s">
        <v>51</v>
      </c>
      <c r="U55" s="5" t="n">
        <v>46195</v>
      </c>
      <c r="V55" s="2"/>
      <c r="W55" s="2"/>
      <c r="X55" s="2"/>
      <c r="Y55" s="2"/>
      <c r="Z55" s="2"/>
      <c r="AA55" s="2"/>
      <c r="AB55" s="3" t="n">
        <v>1442301</v>
      </c>
      <c r="AC55" s="2" t="s">
        <v>66</v>
      </c>
      <c r="AD55" s="2" t="s">
        <v>67</v>
      </c>
      <c r="AE55" s="2" t="s">
        <v>37</v>
      </c>
    </row>
    <row r="56" customFormat="false" ht="15" hidden="false" customHeight="false" outlineLevel="0" collapsed="false">
      <c r="A56" s="2" t="s">
        <v>127</v>
      </c>
      <c r="B56" s="2" t="s">
        <v>128</v>
      </c>
      <c r="C56" s="3" t="n">
        <v>173</v>
      </c>
      <c r="D56" s="2" t="s">
        <v>63</v>
      </c>
      <c r="E56" s="2" t="s">
        <v>64</v>
      </c>
      <c r="F56" s="3" t="n">
        <v>250</v>
      </c>
      <c r="G56" s="2" t="s">
        <v>65</v>
      </c>
      <c r="H56" s="4" t="n">
        <v>117.6</v>
      </c>
      <c r="I56" s="4" t="n">
        <v>117.6</v>
      </c>
      <c r="J56" s="2"/>
      <c r="K56" s="5" t="n">
        <v>46191</v>
      </c>
      <c r="L56" s="3"/>
      <c r="M56" s="3"/>
      <c r="N56" s="3" t="n">
        <v>5</v>
      </c>
      <c r="O56" s="3" t="n">
        <v>162</v>
      </c>
      <c r="P56" s="2" t="s">
        <v>135</v>
      </c>
      <c r="Q56" s="2" t="s">
        <v>136</v>
      </c>
      <c r="R56" s="2" t="s">
        <v>137</v>
      </c>
      <c r="S56" s="5" t="n">
        <v>46191</v>
      </c>
      <c r="T56" s="2" t="s">
        <v>51</v>
      </c>
      <c r="U56" s="5" t="n">
        <v>46196</v>
      </c>
      <c r="V56" s="2"/>
      <c r="W56" s="2"/>
      <c r="X56" s="2"/>
      <c r="Y56" s="2"/>
      <c r="Z56" s="2"/>
      <c r="AA56" s="2"/>
      <c r="AB56" s="3" t="n">
        <v>1442301</v>
      </c>
      <c r="AC56" s="2" t="s">
        <v>66</v>
      </c>
      <c r="AD56" s="2" t="s">
        <v>67</v>
      </c>
      <c r="AE56" s="2" t="s">
        <v>37</v>
      </c>
    </row>
    <row r="57" customFormat="false" ht="15" hidden="false" customHeight="false" outlineLevel="0" collapsed="false">
      <c r="A57" s="2" t="s">
        <v>127</v>
      </c>
      <c r="B57" s="2" t="s">
        <v>128</v>
      </c>
      <c r="C57" s="3" t="n">
        <v>173</v>
      </c>
      <c r="D57" s="2" t="s">
        <v>63</v>
      </c>
      <c r="E57" s="2" t="s">
        <v>64</v>
      </c>
      <c r="F57" s="3" t="n">
        <v>250</v>
      </c>
      <c r="G57" s="2" t="s">
        <v>65</v>
      </c>
      <c r="H57" s="4" t="n">
        <v>117.6</v>
      </c>
      <c r="I57" s="4" t="n">
        <v>117.6</v>
      </c>
      <c r="J57" s="2"/>
      <c r="K57" s="5" t="n">
        <v>46191</v>
      </c>
      <c r="L57" s="3"/>
      <c r="M57" s="3"/>
      <c r="N57" s="3" t="n">
        <v>2</v>
      </c>
      <c r="O57" s="3" t="n">
        <v>160</v>
      </c>
      <c r="P57" s="2" t="s">
        <v>90</v>
      </c>
      <c r="Q57" s="2" t="s">
        <v>91</v>
      </c>
      <c r="R57" s="2" t="s">
        <v>92</v>
      </c>
      <c r="S57" s="5" t="n">
        <v>46191</v>
      </c>
      <c r="T57" s="2" t="s">
        <v>55</v>
      </c>
      <c r="U57" s="5" t="n">
        <v>46199</v>
      </c>
      <c r="V57" s="2"/>
      <c r="W57" s="2"/>
      <c r="X57" s="2"/>
      <c r="Y57" s="2"/>
      <c r="Z57" s="2"/>
      <c r="AA57" s="2"/>
      <c r="AB57" s="3" t="n">
        <v>1442301</v>
      </c>
      <c r="AC57" s="2" t="s">
        <v>66</v>
      </c>
      <c r="AD57" s="2" t="s">
        <v>67</v>
      </c>
      <c r="AE57" s="2" t="s">
        <v>37</v>
      </c>
    </row>
    <row r="58" customFormat="false" ht="15" hidden="false" customHeight="false" outlineLevel="0" collapsed="false">
      <c r="A58" s="2" t="s">
        <v>127</v>
      </c>
      <c r="B58" s="2" t="s">
        <v>128</v>
      </c>
      <c r="C58" s="3" t="n">
        <v>173</v>
      </c>
      <c r="D58" s="2" t="s">
        <v>63</v>
      </c>
      <c r="E58" s="2" t="s">
        <v>64</v>
      </c>
      <c r="F58" s="3" t="n">
        <v>250</v>
      </c>
      <c r="G58" s="2" t="s">
        <v>65</v>
      </c>
      <c r="H58" s="4" t="n">
        <v>117.6</v>
      </c>
      <c r="I58" s="4" t="n">
        <v>117.6</v>
      </c>
      <c r="J58" s="2"/>
      <c r="K58" s="5" t="n">
        <v>46192</v>
      </c>
      <c r="L58" s="3"/>
      <c r="M58" s="3"/>
      <c r="N58" s="3" t="n">
        <v>2</v>
      </c>
      <c r="O58" s="3" t="n">
        <v>158</v>
      </c>
      <c r="P58" s="2" t="s">
        <v>82</v>
      </c>
      <c r="Q58" s="2" t="s">
        <v>83</v>
      </c>
      <c r="R58" s="2" t="s">
        <v>84</v>
      </c>
      <c r="S58" s="5" t="n">
        <v>46192</v>
      </c>
      <c r="T58" s="2" t="s">
        <v>51</v>
      </c>
      <c r="U58" s="5" t="n">
        <v>46192</v>
      </c>
      <c r="V58" s="2"/>
      <c r="W58" s="2"/>
      <c r="X58" s="2"/>
      <c r="Y58" s="2"/>
      <c r="Z58" s="2"/>
      <c r="AA58" s="2"/>
      <c r="AB58" s="3" t="n">
        <v>1442301</v>
      </c>
      <c r="AC58" s="2" t="s">
        <v>66</v>
      </c>
      <c r="AD58" s="2" t="s">
        <v>67</v>
      </c>
      <c r="AE58" s="2" t="s">
        <v>37</v>
      </c>
    </row>
    <row r="59" customFormat="false" ht="15" hidden="false" customHeight="false" outlineLevel="0" collapsed="false">
      <c r="A59" s="2" t="s">
        <v>127</v>
      </c>
      <c r="B59" s="2" t="s">
        <v>128</v>
      </c>
      <c r="C59" s="3" t="n">
        <v>173</v>
      </c>
      <c r="D59" s="2" t="s">
        <v>63</v>
      </c>
      <c r="E59" s="2" t="s">
        <v>64</v>
      </c>
      <c r="F59" s="3" t="n">
        <v>250</v>
      </c>
      <c r="G59" s="2" t="s">
        <v>65</v>
      </c>
      <c r="H59" s="4" t="n">
        <v>117.6</v>
      </c>
      <c r="I59" s="4" t="n">
        <v>117.6</v>
      </c>
      <c r="J59" s="2"/>
      <c r="K59" s="5" t="n">
        <v>46192</v>
      </c>
      <c r="L59" s="3"/>
      <c r="M59" s="3"/>
      <c r="N59" s="3" t="n">
        <v>4</v>
      </c>
      <c r="O59" s="3" t="n">
        <v>154</v>
      </c>
      <c r="P59" s="2"/>
      <c r="Q59" s="2" t="s">
        <v>68</v>
      </c>
      <c r="R59" s="2" t="s">
        <v>69</v>
      </c>
      <c r="S59" s="5" t="n">
        <v>46192</v>
      </c>
      <c r="T59" s="2" t="s">
        <v>51</v>
      </c>
      <c r="U59" s="5" t="n">
        <v>46192</v>
      </c>
      <c r="V59" s="2"/>
      <c r="W59" s="2" t="s">
        <v>70</v>
      </c>
      <c r="X59" s="2"/>
      <c r="Y59" s="2"/>
      <c r="Z59" s="2"/>
      <c r="AA59" s="2"/>
      <c r="AB59" s="3" t="n">
        <v>1442301</v>
      </c>
      <c r="AC59" s="2" t="s">
        <v>66</v>
      </c>
      <c r="AD59" s="2" t="s">
        <v>67</v>
      </c>
      <c r="AE59" s="2" t="s">
        <v>37</v>
      </c>
    </row>
    <row r="60" customFormat="false" ht="15" hidden="false" customHeight="false" outlineLevel="0" collapsed="false">
      <c r="A60" s="2" t="s">
        <v>127</v>
      </c>
      <c r="B60" s="2" t="s">
        <v>128</v>
      </c>
      <c r="C60" s="3" t="n">
        <v>173</v>
      </c>
      <c r="D60" s="2" t="s">
        <v>63</v>
      </c>
      <c r="E60" s="2" t="s">
        <v>64</v>
      </c>
      <c r="F60" s="3" t="n">
        <v>250</v>
      </c>
      <c r="G60" s="2" t="s">
        <v>65</v>
      </c>
      <c r="H60" s="4" t="n">
        <v>117.6</v>
      </c>
      <c r="I60" s="4" t="n">
        <v>117.6</v>
      </c>
      <c r="J60" s="2"/>
      <c r="K60" s="5" t="n">
        <v>46209</v>
      </c>
      <c r="L60" s="3"/>
      <c r="M60" s="3"/>
      <c r="N60" s="3" t="n">
        <v>10</v>
      </c>
      <c r="O60" s="3" t="n">
        <v>144</v>
      </c>
      <c r="P60" s="2" t="s">
        <v>138</v>
      </c>
      <c r="Q60" s="2" t="s">
        <v>139</v>
      </c>
      <c r="R60" s="2" t="s">
        <v>140</v>
      </c>
      <c r="S60" s="5" t="n">
        <v>46209</v>
      </c>
      <c r="T60" s="2" t="s">
        <v>55</v>
      </c>
      <c r="U60" s="5" t="n">
        <v>46212</v>
      </c>
      <c r="V60" s="2" t="s">
        <v>141</v>
      </c>
      <c r="W60" s="2" t="s">
        <v>142</v>
      </c>
      <c r="X60" s="2"/>
      <c r="Y60" s="2"/>
      <c r="Z60" s="2"/>
      <c r="AA60" s="2"/>
      <c r="AB60" s="3" t="n">
        <v>1442301</v>
      </c>
      <c r="AC60" s="2" t="s">
        <v>66</v>
      </c>
      <c r="AD60" s="2" t="s">
        <v>67</v>
      </c>
      <c r="AE60" s="2" t="s">
        <v>37</v>
      </c>
    </row>
    <row r="61" customFormat="false" ht="15" hidden="false" customHeight="false" outlineLevel="0" collapsed="false">
      <c r="A61" s="2" t="s">
        <v>127</v>
      </c>
      <c r="B61" s="2" t="s">
        <v>128</v>
      </c>
      <c r="C61" s="3" t="n">
        <v>173</v>
      </c>
      <c r="D61" s="2" t="s">
        <v>63</v>
      </c>
      <c r="E61" s="2" t="s">
        <v>64</v>
      </c>
      <c r="F61" s="3" t="n">
        <v>250</v>
      </c>
      <c r="G61" s="2" t="s">
        <v>65</v>
      </c>
      <c r="H61" s="4" t="n">
        <v>117.6</v>
      </c>
      <c r="I61" s="4" t="n">
        <v>117.6</v>
      </c>
      <c r="J61" s="2"/>
      <c r="K61" s="5" t="n">
        <v>46205</v>
      </c>
      <c r="L61" s="3"/>
      <c r="M61" s="3"/>
      <c r="N61" s="3" t="n">
        <v>2</v>
      </c>
      <c r="O61" s="3" t="n">
        <v>142</v>
      </c>
      <c r="P61" s="2" t="s">
        <v>85</v>
      </c>
      <c r="Q61" s="2" t="s">
        <v>86</v>
      </c>
      <c r="R61" s="2" t="s">
        <v>87</v>
      </c>
      <c r="S61" s="5" t="n">
        <v>46209</v>
      </c>
      <c r="T61" s="2" t="s">
        <v>51</v>
      </c>
      <c r="U61" s="5" t="n">
        <v>46212</v>
      </c>
      <c r="V61" s="2" t="s">
        <v>88</v>
      </c>
      <c r="W61" s="2" t="s">
        <v>89</v>
      </c>
      <c r="X61" s="6" t="s">
        <v>143</v>
      </c>
      <c r="Y61" s="6" t="s">
        <v>144</v>
      </c>
      <c r="Z61" s="2"/>
      <c r="AA61" s="2"/>
      <c r="AB61" s="3" t="n">
        <v>1442301</v>
      </c>
      <c r="AC61" s="2" t="s">
        <v>66</v>
      </c>
      <c r="AD61" s="2" t="s">
        <v>67</v>
      </c>
      <c r="AE61" s="2" t="s">
        <v>37</v>
      </c>
    </row>
    <row r="62" customFormat="false" ht="15" hidden="false" customHeight="false" outlineLevel="0" collapsed="false">
      <c r="A62" s="2" t="s">
        <v>127</v>
      </c>
      <c r="B62" s="2" t="s">
        <v>128</v>
      </c>
      <c r="C62" s="3" t="n">
        <v>173</v>
      </c>
      <c r="D62" s="2" t="s">
        <v>63</v>
      </c>
      <c r="E62" s="2" t="s">
        <v>64</v>
      </c>
      <c r="F62" s="3" t="n">
        <v>250</v>
      </c>
      <c r="G62" s="2" t="s">
        <v>65</v>
      </c>
      <c r="H62" s="4" t="n">
        <v>117.6</v>
      </c>
      <c r="I62" s="4" t="n">
        <v>117.6</v>
      </c>
      <c r="J62" s="2"/>
      <c r="K62" s="5" t="n">
        <v>46217</v>
      </c>
      <c r="L62" s="3"/>
      <c r="M62" s="3"/>
      <c r="N62" s="3" t="n">
        <v>7</v>
      </c>
      <c r="O62" s="3" t="n">
        <v>135</v>
      </c>
      <c r="P62" s="2" t="s">
        <v>145</v>
      </c>
      <c r="Q62" s="2" t="s">
        <v>146</v>
      </c>
      <c r="R62" s="2" t="s">
        <v>97</v>
      </c>
      <c r="S62" s="5" t="n">
        <v>46217</v>
      </c>
      <c r="T62" s="2" t="s">
        <v>51</v>
      </c>
      <c r="U62" s="2"/>
      <c r="V62" s="2" t="s">
        <v>147</v>
      </c>
      <c r="W62" s="2" t="s">
        <v>148</v>
      </c>
      <c r="X62" s="2"/>
      <c r="Y62" s="2"/>
      <c r="Z62" s="2"/>
      <c r="AA62" s="2"/>
      <c r="AB62" s="3" t="n">
        <v>1442301</v>
      </c>
      <c r="AC62" s="2" t="s">
        <v>66</v>
      </c>
      <c r="AD62" s="2" t="s">
        <v>67</v>
      </c>
      <c r="AE62" s="2" t="s">
        <v>37</v>
      </c>
    </row>
    <row r="63" customFormat="false" ht="15" hidden="false" customHeight="false" outlineLevel="0" collapsed="false">
      <c r="A63" s="2" t="s">
        <v>149</v>
      </c>
      <c r="B63" s="2" t="s">
        <v>150</v>
      </c>
      <c r="C63" s="3" t="n">
        <v>1</v>
      </c>
      <c r="D63" s="2" t="s">
        <v>63</v>
      </c>
      <c r="E63" s="2" t="s">
        <v>64</v>
      </c>
      <c r="F63" s="3" t="n">
        <v>100</v>
      </c>
      <c r="G63" s="2" t="s">
        <v>73</v>
      </c>
      <c r="H63" s="4" t="n">
        <v>189.99</v>
      </c>
      <c r="I63" s="4" t="n">
        <v>189.99</v>
      </c>
      <c r="J63" s="5" t="n">
        <v>46185</v>
      </c>
      <c r="K63" s="2"/>
      <c r="L63" s="3" t="n">
        <v>1</v>
      </c>
      <c r="M63" s="3"/>
      <c r="N63" s="3"/>
      <c r="O63" s="3" t="n">
        <v>1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3" t="n">
        <v>1442301</v>
      </c>
      <c r="AC63" s="2" t="s">
        <v>66</v>
      </c>
      <c r="AD63" s="2" t="s">
        <v>67</v>
      </c>
      <c r="AE63" s="2" t="s">
        <v>37</v>
      </c>
    </row>
    <row r="64" customFormat="false" ht="15" hidden="false" customHeight="false" outlineLevel="0" collapsed="false">
      <c r="A64" s="2" t="s">
        <v>149</v>
      </c>
      <c r="B64" s="2" t="s">
        <v>150</v>
      </c>
      <c r="C64" s="3" t="n">
        <v>1</v>
      </c>
      <c r="D64" s="2" t="s">
        <v>63</v>
      </c>
      <c r="E64" s="2" t="s">
        <v>64</v>
      </c>
      <c r="F64" s="3" t="n">
        <v>100</v>
      </c>
      <c r="G64" s="2" t="s">
        <v>73</v>
      </c>
      <c r="H64" s="4" t="n">
        <v>189.99</v>
      </c>
      <c r="I64" s="4" t="n">
        <v>189.99</v>
      </c>
      <c r="J64" s="2"/>
      <c r="K64" s="5" t="n">
        <v>46192</v>
      </c>
      <c r="L64" s="3"/>
      <c r="M64" s="3"/>
      <c r="N64" s="3" t="n">
        <v>1</v>
      </c>
      <c r="O64" s="3"/>
      <c r="P64" s="2"/>
      <c r="Q64" s="2" t="s">
        <v>68</v>
      </c>
      <c r="R64" s="2" t="s">
        <v>69</v>
      </c>
      <c r="S64" s="5" t="n">
        <v>46192</v>
      </c>
      <c r="T64" s="2" t="s">
        <v>51</v>
      </c>
      <c r="U64" s="5" t="n">
        <v>46192</v>
      </c>
      <c r="V64" s="2"/>
      <c r="W64" s="2" t="s">
        <v>70</v>
      </c>
      <c r="X64" s="2"/>
      <c r="Y64" s="2"/>
      <c r="Z64" s="2"/>
      <c r="AA64" s="2"/>
      <c r="AB64" s="3" t="n">
        <v>1442301</v>
      </c>
      <c r="AC64" s="2" t="s">
        <v>66</v>
      </c>
      <c r="AD64" s="2" t="s">
        <v>67</v>
      </c>
      <c r="AE64" s="2" t="s">
        <v>37</v>
      </c>
    </row>
    <row r="65" customFormat="false" ht="15" hidden="false" customHeight="false" outlineLevel="0" collapsed="false">
      <c r="A65" s="2" t="s">
        <v>149</v>
      </c>
      <c r="B65" s="2" t="s">
        <v>150</v>
      </c>
      <c r="C65" s="3" t="n">
        <v>1</v>
      </c>
      <c r="D65" s="2" t="s">
        <v>63</v>
      </c>
      <c r="E65" s="2" t="s">
        <v>64</v>
      </c>
      <c r="F65" s="3" t="n">
        <v>100</v>
      </c>
      <c r="G65" s="2" t="s">
        <v>73</v>
      </c>
      <c r="H65" s="4" t="n">
        <v>189.99</v>
      </c>
      <c r="I65" s="4" t="n">
        <v>189.99</v>
      </c>
      <c r="J65" s="5" t="n">
        <v>46210</v>
      </c>
      <c r="K65" s="2"/>
      <c r="L65" s="3"/>
      <c r="M65" s="3" t="n">
        <v>30</v>
      </c>
      <c r="N65" s="3"/>
      <c r="O65" s="3" t="n">
        <v>30</v>
      </c>
      <c r="P65" s="2" t="s">
        <v>151</v>
      </c>
      <c r="Q65" s="2" t="s">
        <v>152</v>
      </c>
      <c r="R65" s="2" t="s">
        <v>153</v>
      </c>
      <c r="S65" s="2"/>
      <c r="T65" s="2"/>
      <c r="U65" s="2"/>
      <c r="V65" s="2"/>
      <c r="W65" s="2"/>
      <c r="X65" s="2"/>
      <c r="Y65" s="2"/>
      <c r="Z65" s="2"/>
      <c r="AA65" s="2"/>
      <c r="AB65" s="3" t="n">
        <v>1442301</v>
      </c>
      <c r="AC65" s="2" t="s">
        <v>66</v>
      </c>
      <c r="AD65" s="2" t="s">
        <v>67</v>
      </c>
      <c r="AE65" s="2" t="s">
        <v>37</v>
      </c>
    </row>
    <row r="66" customFormat="false" ht="15" hidden="false" customHeight="false" outlineLevel="0" collapsed="false">
      <c r="A66" s="2" t="s">
        <v>154</v>
      </c>
      <c r="B66" s="2" t="s">
        <v>155</v>
      </c>
      <c r="C66" s="3" t="n">
        <v>327</v>
      </c>
      <c r="D66" s="2" t="s">
        <v>63</v>
      </c>
      <c r="E66" s="2" t="s">
        <v>64</v>
      </c>
      <c r="F66" s="3" t="n">
        <v>100</v>
      </c>
      <c r="G66" s="2" t="s">
        <v>65</v>
      </c>
      <c r="H66" s="4" t="n">
        <v>810.3</v>
      </c>
      <c r="I66" s="4" t="n">
        <v>810.3</v>
      </c>
      <c r="J66" s="5" t="n">
        <v>46185</v>
      </c>
      <c r="K66" s="2"/>
      <c r="L66" s="3" t="n">
        <v>327</v>
      </c>
      <c r="M66" s="3"/>
      <c r="N66" s="3"/>
      <c r="O66" s="3" t="n">
        <v>327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3" t="n">
        <v>1442301</v>
      </c>
      <c r="AC66" s="2" t="s">
        <v>66</v>
      </c>
      <c r="AD66" s="2" t="s">
        <v>67</v>
      </c>
      <c r="AE66" s="2" t="s">
        <v>37</v>
      </c>
    </row>
    <row r="67" customFormat="false" ht="15" hidden="false" customHeight="false" outlineLevel="0" collapsed="false">
      <c r="A67" s="2" t="s">
        <v>154</v>
      </c>
      <c r="B67" s="2" t="s">
        <v>155</v>
      </c>
      <c r="C67" s="3" t="n">
        <v>327</v>
      </c>
      <c r="D67" s="2" t="s">
        <v>63</v>
      </c>
      <c r="E67" s="2" t="s">
        <v>64</v>
      </c>
      <c r="F67" s="3" t="n">
        <v>100</v>
      </c>
      <c r="G67" s="2" t="s">
        <v>65</v>
      </c>
      <c r="H67" s="4" t="n">
        <v>810.3</v>
      </c>
      <c r="I67" s="4" t="n">
        <v>810.3</v>
      </c>
      <c r="J67" s="2"/>
      <c r="K67" s="5" t="n">
        <v>46188</v>
      </c>
      <c r="L67" s="3"/>
      <c r="M67" s="3"/>
      <c r="N67" s="3" t="n">
        <v>2</v>
      </c>
      <c r="O67" s="3" t="n">
        <v>325</v>
      </c>
      <c r="P67" s="2" t="s">
        <v>156</v>
      </c>
      <c r="Q67" s="2" t="s">
        <v>157</v>
      </c>
      <c r="R67" s="2" t="s">
        <v>158</v>
      </c>
      <c r="S67" s="5" t="n">
        <v>46190</v>
      </c>
      <c r="T67" s="2" t="s">
        <v>55</v>
      </c>
      <c r="U67" s="5" t="n">
        <v>46190</v>
      </c>
      <c r="V67" s="2"/>
      <c r="W67" s="2"/>
      <c r="X67" s="2"/>
      <c r="Y67" s="2"/>
      <c r="Z67" s="2"/>
      <c r="AA67" s="2"/>
      <c r="AB67" s="3" t="n">
        <v>1442301</v>
      </c>
      <c r="AC67" s="2" t="s">
        <v>66</v>
      </c>
      <c r="AD67" s="2" t="s">
        <v>67</v>
      </c>
      <c r="AE67" s="2" t="s">
        <v>37</v>
      </c>
    </row>
    <row r="68" customFormat="false" ht="15" hidden="false" customHeight="false" outlineLevel="0" collapsed="false">
      <c r="A68" s="2" t="s">
        <v>154</v>
      </c>
      <c r="B68" s="2" t="s">
        <v>155</v>
      </c>
      <c r="C68" s="3" t="n">
        <v>327</v>
      </c>
      <c r="D68" s="2" t="s">
        <v>63</v>
      </c>
      <c r="E68" s="2" t="s">
        <v>64</v>
      </c>
      <c r="F68" s="3" t="n">
        <v>100</v>
      </c>
      <c r="G68" s="2" t="s">
        <v>65</v>
      </c>
      <c r="H68" s="4" t="n">
        <v>810.3</v>
      </c>
      <c r="I68" s="4" t="n">
        <v>810.3</v>
      </c>
      <c r="J68" s="2"/>
      <c r="K68" s="5" t="n">
        <v>46188</v>
      </c>
      <c r="L68" s="3"/>
      <c r="M68" s="3"/>
      <c r="N68" s="3" t="n">
        <v>1</v>
      </c>
      <c r="O68" s="3" t="n">
        <v>324</v>
      </c>
      <c r="P68" s="2" t="s">
        <v>129</v>
      </c>
      <c r="Q68" s="2" t="s">
        <v>130</v>
      </c>
      <c r="R68" s="2" t="s">
        <v>131</v>
      </c>
      <c r="S68" s="5" t="n">
        <v>46190</v>
      </c>
      <c r="T68" s="2" t="s">
        <v>55</v>
      </c>
      <c r="U68" s="5" t="n">
        <v>46190</v>
      </c>
      <c r="V68" s="2"/>
      <c r="W68" s="2"/>
      <c r="X68" s="2"/>
      <c r="Y68" s="2"/>
      <c r="Z68" s="2"/>
      <c r="AA68" s="2"/>
      <c r="AB68" s="3" t="n">
        <v>1442301</v>
      </c>
      <c r="AC68" s="2" t="s">
        <v>66</v>
      </c>
      <c r="AD68" s="2" t="s">
        <v>67</v>
      </c>
      <c r="AE68" s="2" t="s">
        <v>37</v>
      </c>
    </row>
    <row r="69" customFormat="false" ht="15" hidden="false" customHeight="false" outlineLevel="0" collapsed="false">
      <c r="A69" s="2" t="s">
        <v>154</v>
      </c>
      <c r="B69" s="2" t="s">
        <v>155</v>
      </c>
      <c r="C69" s="3" t="n">
        <v>327</v>
      </c>
      <c r="D69" s="2" t="s">
        <v>63</v>
      </c>
      <c r="E69" s="2" t="s">
        <v>64</v>
      </c>
      <c r="F69" s="3" t="n">
        <v>100</v>
      </c>
      <c r="G69" s="2" t="s">
        <v>65</v>
      </c>
      <c r="H69" s="4" t="n">
        <v>810.3</v>
      </c>
      <c r="I69" s="4" t="n">
        <v>810.3</v>
      </c>
      <c r="J69" s="2"/>
      <c r="K69" s="5" t="n">
        <v>46188</v>
      </c>
      <c r="L69" s="3"/>
      <c r="M69" s="3"/>
      <c r="N69" s="3" t="n">
        <v>1</v>
      </c>
      <c r="O69" s="3" t="n">
        <v>323</v>
      </c>
      <c r="P69" s="2" t="s">
        <v>123</v>
      </c>
      <c r="Q69" s="2" t="s">
        <v>124</v>
      </c>
      <c r="R69" s="2" t="s">
        <v>125</v>
      </c>
      <c r="S69" s="5" t="n">
        <v>46190</v>
      </c>
      <c r="T69" s="2" t="s">
        <v>55</v>
      </c>
      <c r="U69" s="5" t="n">
        <v>46192</v>
      </c>
      <c r="V69" s="2"/>
      <c r="W69" s="2"/>
      <c r="X69" s="2"/>
      <c r="Y69" s="2"/>
      <c r="Z69" s="2"/>
      <c r="AA69" s="2"/>
      <c r="AB69" s="3" t="n">
        <v>1442301</v>
      </c>
      <c r="AC69" s="2" t="s">
        <v>66</v>
      </c>
      <c r="AD69" s="2" t="s">
        <v>67</v>
      </c>
      <c r="AE69" s="2" t="s">
        <v>37</v>
      </c>
    </row>
    <row r="70" customFormat="false" ht="15" hidden="false" customHeight="false" outlineLevel="0" collapsed="false">
      <c r="A70" s="2" t="s">
        <v>154</v>
      </c>
      <c r="B70" s="2" t="s">
        <v>155</v>
      </c>
      <c r="C70" s="3" t="n">
        <v>327</v>
      </c>
      <c r="D70" s="2" t="s">
        <v>63</v>
      </c>
      <c r="E70" s="2" t="s">
        <v>64</v>
      </c>
      <c r="F70" s="3" t="n">
        <v>100</v>
      </c>
      <c r="G70" s="2" t="s">
        <v>65</v>
      </c>
      <c r="H70" s="4" t="n">
        <v>810.3</v>
      </c>
      <c r="I70" s="4" t="n">
        <v>810.3</v>
      </c>
      <c r="J70" s="2"/>
      <c r="K70" s="5" t="n">
        <v>46191</v>
      </c>
      <c r="L70" s="3"/>
      <c r="M70" s="3"/>
      <c r="N70" s="3" t="n">
        <v>5</v>
      </c>
      <c r="O70" s="3" t="n">
        <v>318</v>
      </c>
      <c r="P70" s="2" t="s">
        <v>108</v>
      </c>
      <c r="Q70" s="2" t="s">
        <v>109</v>
      </c>
      <c r="R70" s="2" t="s">
        <v>110</v>
      </c>
      <c r="S70" s="5" t="n">
        <v>46191</v>
      </c>
      <c r="T70" s="2" t="s">
        <v>55</v>
      </c>
      <c r="U70" s="5" t="n">
        <v>46193</v>
      </c>
      <c r="V70" s="2" t="s">
        <v>111</v>
      </c>
      <c r="W70" s="2" t="s">
        <v>112</v>
      </c>
      <c r="X70" s="2"/>
      <c r="Y70" s="2"/>
      <c r="Z70" s="2"/>
      <c r="AA70" s="2"/>
      <c r="AB70" s="3" t="n">
        <v>1442301</v>
      </c>
      <c r="AC70" s="2" t="s">
        <v>66</v>
      </c>
      <c r="AD70" s="2" t="s">
        <v>67</v>
      </c>
      <c r="AE70" s="2" t="s">
        <v>37</v>
      </c>
    </row>
    <row r="71" customFormat="false" ht="15" hidden="false" customHeight="false" outlineLevel="0" collapsed="false">
      <c r="A71" s="2" t="s">
        <v>154</v>
      </c>
      <c r="B71" s="2" t="s">
        <v>155</v>
      </c>
      <c r="C71" s="3" t="n">
        <v>327</v>
      </c>
      <c r="D71" s="2" t="s">
        <v>63</v>
      </c>
      <c r="E71" s="2" t="s">
        <v>64</v>
      </c>
      <c r="F71" s="3" t="n">
        <v>100</v>
      </c>
      <c r="G71" s="2" t="s">
        <v>65</v>
      </c>
      <c r="H71" s="4" t="n">
        <v>810.3</v>
      </c>
      <c r="I71" s="4" t="n">
        <v>810.3</v>
      </c>
      <c r="J71" s="2"/>
      <c r="K71" s="5" t="n">
        <v>46191</v>
      </c>
      <c r="L71" s="3"/>
      <c r="M71" s="3"/>
      <c r="N71" s="3" t="n">
        <v>2</v>
      </c>
      <c r="O71" s="3" t="n">
        <v>316</v>
      </c>
      <c r="P71" s="2" t="s">
        <v>159</v>
      </c>
      <c r="Q71" s="2" t="s">
        <v>160</v>
      </c>
      <c r="R71" s="2" t="s">
        <v>161</v>
      </c>
      <c r="S71" s="5" t="n">
        <v>46191</v>
      </c>
      <c r="T71" s="2" t="s">
        <v>55</v>
      </c>
      <c r="U71" s="5" t="n">
        <v>46191</v>
      </c>
      <c r="V71" s="2"/>
      <c r="W71" s="2"/>
      <c r="X71" s="2"/>
      <c r="Y71" s="2"/>
      <c r="Z71" s="2"/>
      <c r="AA71" s="2"/>
      <c r="AB71" s="3" t="n">
        <v>1442301</v>
      </c>
      <c r="AC71" s="2" t="s">
        <v>66</v>
      </c>
      <c r="AD71" s="2" t="s">
        <v>67</v>
      </c>
      <c r="AE71" s="2" t="s">
        <v>37</v>
      </c>
    </row>
    <row r="72" customFormat="false" ht="15" hidden="false" customHeight="false" outlineLevel="0" collapsed="false">
      <c r="A72" s="2" t="s">
        <v>154</v>
      </c>
      <c r="B72" s="2" t="s">
        <v>155</v>
      </c>
      <c r="C72" s="3" t="n">
        <v>327</v>
      </c>
      <c r="D72" s="2" t="s">
        <v>63</v>
      </c>
      <c r="E72" s="2" t="s">
        <v>64</v>
      </c>
      <c r="F72" s="3" t="n">
        <v>100</v>
      </c>
      <c r="G72" s="2" t="s">
        <v>65</v>
      </c>
      <c r="H72" s="4" t="n">
        <v>810.3</v>
      </c>
      <c r="I72" s="4" t="n">
        <v>810.3</v>
      </c>
      <c r="J72" s="2"/>
      <c r="K72" s="5" t="n">
        <v>46188</v>
      </c>
      <c r="L72" s="3"/>
      <c r="M72" s="3"/>
      <c r="N72" s="3" t="n">
        <v>10</v>
      </c>
      <c r="O72" s="3" t="n">
        <v>306</v>
      </c>
      <c r="P72" s="2" t="s">
        <v>79</v>
      </c>
      <c r="Q72" s="2" t="s">
        <v>80</v>
      </c>
      <c r="R72" s="2" t="s">
        <v>81</v>
      </c>
      <c r="S72" s="5" t="n">
        <v>46191</v>
      </c>
      <c r="T72" s="2" t="s">
        <v>55</v>
      </c>
      <c r="U72" s="5" t="n">
        <v>46191</v>
      </c>
      <c r="V72" s="2"/>
      <c r="W72" s="2"/>
      <c r="X72" s="2"/>
      <c r="Y72" s="2"/>
      <c r="Z72" s="2"/>
      <c r="AA72" s="2"/>
      <c r="AB72" s="3" t="n">
        <v>1442301</v>
      </c>
      <c r="AC72" s="2" t="s">
        <v>66</v>
      </c>
      <c r="AD72" s="2" t="s">
        <v>67</v>
      </c>
      <c r="AE72" s="2" t="s">
        <v>37</v>
      </c>
    </row>
    <row r="73" customFormat="false" ht="15" hidden="false" customHeight="false" outlineLevel="0" collapsed="false">
      <c r="A73" s="2" t="s">
        <v>154</v>
      </c>
      <c r="B73" s="2" t="s">
        <v>155</v>
      </c>
      <c r="C73" s="3" t="n">
        <v>327</v>
      </c>
      <c r="D73" s="2" t="s">
        <v>63</v>
      </c>
      <c r="E73" s="2" t="s">
        <v>64</v>
      </c>
      <c r="F73" s="3" t="n">
        <v>100</v>
      </c>
      <c r="G73" s="2" t="s">
        <v>65</v>
      </c>
      <c r="H73" s="4" t="n">
        <v>810.3</v>
      </c>
      <c r="I73" s="4" t="n">
        <v>810.3</v>
      </c>
      <c r="J73" s="2"/>
      <c r="K73" s="5" t="n">
        <v>46191</v>
      </c>
      <c r="L73" s="3"/>
      <c r="M73" s="3"/>
      <c r="N73" s="3" t="n">
        <v>6</v>
      </c>
      <c r="O73" s="3" t="n">
        <v>300</v>
      </c>
      <c r="P73" s="2" t="s">
        <v>132</v>
      </c>
      <c r="Q73" s="2" t="s">
        <v>133</v>
      </c>
      <c r="R73" s="2" t="s">
        <v>134</v>
      </c>
      <c r="S73" s="5" t="n">
        <v>46191</v>
      </c>
      <c r="T73" s="2" t="s">
        <v>51</v>
      </c>
      <c r="U73" s="5" t="n">
        <v>46195</v>
      </c>
      <c r="V73" s="2"/>
      <c r="W73" s="2"/>
      <c r="X73" s="2"/>
      <c r="Y73" s="2"/>
      <c r="Z73" s="2"/>
      <c r="AA73" s="2"/>
      <c r="AB73" s="3" t="n">
        <v>1442301</v>
      </c>
      <c r="AC73" s="2" t="s">
        <v>66</v>
      </c>
      <c r="AD73" s="2" t="s">
        <v>67</v>
      </c>
      <c r="AE73" s="2" t="s">
        <v>37</v>
      </c>
    </row>
    <row r="74" customFormat="false" ht="15" hidden="false" customHeight="false" outlineLevel="0" collapsed="false">
      <c r="A74" s="2" t="s">
        <v>154</v>
      </c>
      <c r="B74" s="2" t="s">
        <v>155</v>
      </c>
      <c r="C74" s="3" t="n">
        <v>327</v>
      </c>
      <c r="D74" s="2" t="s">
        <v>63</v>
      </c>
      <c r="E74" s="2" t="s">
        <v>64</v>
      </c>
      <c r="F74" s="3" t="n">
        <v>100</v>
      </c>
      <c r="G74" s="2" t="s">
        <v>65</v>
      </c>
      <c r="H74" s="4" t="n">
        <v>810.3</v>
      </c>
      <c r="I74" s="4" t="n">
        <v>810.3</v>
      </c>
      <c r="J74" s="2"/>
      <c r="K74" s="5" t="n">
        <v>46191</v>
      </c>
      <c r="L74" s="3"/>
      <c r="M74" s="3"/>
      <c r="N74" s="3" t="n">
        <v>3</v>
      </c>
      <c r="O74" s="3" t="n">
        <v>297</v>
      </c>
      <c r="P74" s="2" t="s">
        <v>135</v>
      </c>
      <c r="Q74" s="2" t="s">
        <v>136</v>
      </c>
      <c r="R74" s="2" t="s">
        <v>137</v>
      </c>
      <c r="S74" s="5" t="n">
        <v>46191</v>
      </c>
      <c r="T74" s="2" t="s">
        <v>51</v>
      </c>
      <c r="U74" s="5" t="n">
        <v>46196</v>
      </c>
      <c r="V74" s="2"/>
      <c r="W74" s="2"/>
      <c r="X74" s="2"/>
      <c r="Y74" s="2"/>
      <c r="Z74" s="2"/>
      <c r="AA74" s="2"/>
      <c r="AB74" s="3" t="n">
        <v>1442301</v>
      </c>
      <c r="AC74" s="2" t="s">
        <v>66</v>
      </c>
      <c r="AD74" s="2" t="s">
        <v>67</v>
      </c>
      <c r="AE74" s="2" t="s">
        <v>37</v>
      </c>
    </row>
    <row r="75" customFormat="false" ht="15" hidden="false" customHeight="false" outlineLevel="0" collapsed="false">
      <c r="A75" s="2" t="s">
        <v>154</v>
      </c>
      <c r="B75" s="2" t="s">
        <v>155</v>
      </c>
      <c r="C75" s="3" t="n">
        <v>327</v>
      </c>
      <c r="D75" s="2" t="s">
        <v>63</v>
      </c>
      <c r="E75" s="2" t="s">
        <v>64</v>
      </c>
      <c r="F75" s="3" t="n">
        <v>100</v>
      </c>
      <c r="G75" s="2" t="s">
        <v>65</v>
      </c>
      <c r="H75" s="4" t="n">
        <v>810.3</v>
      </c>
      <c r="I75" s="4" t="n">
        <v>810.3</v>
      </c>
      <c r="J75" s="2"/>
      <c r="K75" s="5" t="n">
        <v>46192</v>
      </c>
      <c r="L75" s="3"/>
      <c r="M75" s="3"/>
      <c r="N75" s="3" t="n">
        <v>4</v>
      </c>
      <c r="O75" s="3" t="n">
        <v>293</v>
      </c>
      <c r="P75" s="2" t="s">
        <v>82</v>
      </c>
      <c r="Q75" s="2" t="s">
        <v>83</v>
      </c>
      <c r="R75" s="2" t="s">
        <v>84</v>
      </c>
      <c r="S75" s="5" t="n">
        <v>46192</v>
      </c>
      <c r="T75" s="2" t="s">
        <v>51</v>
      </c>
      <c r="U75" s="5" t="n">
        <v>46192</v>
      </c>
      <c r="V75" s="2"/>
      <c r="W75" s="2"/>
      <c r="X75" s="2"/>
      <c r="Y75" s="2"/>
      <c r="Z75" s="2"/>
      <c r="AA75" s="2"/>
      <c r="AB75" s="3" t="n">
        <v>1442301</v>
      </c>
      <c r="AC75" s="2" t="s">
        <v>66</v>
      </c>
      <c r="AD75" s="2" t="s">
        <v>67</v>
      </c>
      <c r="AE75" s="2" t="s">
        <v>37</v>
      </c>
    </row>
    <row r="76" customFormat="false" ht="15" hidden="false" customHeight="false" outlineLevel="0" collapsed="false">
      <c r="A76" s="2" t="s">
        <v>154</v>
      </c>
      <c r="B76" s="2" t="s">
        <v>155</v>
      </c>
      <c r="C76" s="3" t="n">
        <v>327</v>
      </c>
      <c r="D76" s="2" t="s">
        <v>63</v>
      </c>
      <c r="E76" s="2" t="s">
        <v>64</v>
      </c>
      <c r="F76" s="3" t="n">
        <v>100</v>
      </c>
      <c r="G76" s="2" t="s">
        <v>65</v>
      </c>
      <c r="H76" s="4" t="n">
        <v>810.3</v>
      </c>
      <c r="I76" s="4" t="n">
        <v>810.3</v>
      </c>
      <c r="J76" s="2"/>
      <c r="K76" s="5" t="n">
        <v>46192</v>
      </c>
      <c r="L76" s="3"/>
      <c r="M76" s="3"/>
      <c r="N76" s="3" t="n">
        <v>3</v>
      </c>
      <c r="O76" s="3" t="n">
        <v>290</v>
      </c>
      <c r="P76" s="2"/>
      <c r="Q76" s="2" t="s">
        <v>68</v>
      </c>
      <c r="R76" s="2" t="s">
        <v>69</v>
      </c>
      <c r="S76" s="5" t="n">
        <v>46192</v>
      </c>
      <c r="T76" s="2" t="s">
        <v>51</v>
      </c>
      <c r="U76" s="5" t="n">
        <v>46192</v>
      </c>
      <c r="V76" s="2"/>
      <c r="W76" s="2" t="s">
        <v>70</v>
      </c>
      <c r="X76" s="2"/>
      <c r="Y76" s="2"/>
      <c r="Z76" s="2"/>
      <c r="AA76" s="2"/>
      <c r="AB76" s="3" t="n">
        <v>1442301</v>
      </c>
      <c r="AC76" s="2" t="s">
        <v>66</v>
      </c>
      <c r="AD76" s="2" t="s">
        <v>67</v>
      </c>
      <c r="AE76" s="2" t="s">
        <v>37</v>
      </c>
    </row>
    <row r="77" customFormat="false" ht="15" hidden="false" customHeight="false" outlineLevel="0" collapsed="false">
      <c r="A77" s="2" t="s">
        <v>154</v>
      </c>
      <c r="B77" s="2" t="s">
        <v>155</v>
      </c>
      <c r="C77" s="3" t="n">
        <v>327</v>
      </c>
      <c r="D77" s="2" t="s">
        <v>63</v>
      </c>
      <c r="E77" s="2" t="s">
        <v>64</v>
      </c>
      <c r="F77" s="3" t="n">
        <v>100</v>
      </c>
      <c r="G77" s="2" t="s">
        <v>65</v>
      </c>
      <c r="H77" s="4" t="n">
        <v>810.3</v>
      </c>
      <c r="I77" s="4" t="n">
        <v>810.3</v>
      </c>
      <c r="J77" s="2"/>
      <c r="K77" s="5" t="n">
        <v>46192</v>
      </c>
      <c r="L77" s="3"/>
      <c r="M77" s="3"/>
      <c r="N77" s="3" t="n">
        <v>3</v>
      </c>
      <c r="O77" s="3" t="n">
        <v>287</v>
      </c>
      <c r="P77" s="2" t="s">
        <v>90</v>
      </c>
      <c r="Q77" s="2" t="s">
        <v>91</v>
      </c>
      <c r="R77" s="2" t="s">
        <v>92</v>
      </c>
      <c r="S77" s="5" t="n">
        <v>46191</v>
      </c>
      <c r="T77" s="2" t="s">
        <v>55</v>
      </c>
      <c r="U77" s="5" t="n">
        <v>46199</v>
      </c>
      <c r="V77" s="2"/>
      <c r="W77" s="2"/>
      <c r="X77" s="2"/>
      <c r="Y77" s="2"/>
      <c r="Z77" s="2"/>
      <c r="AA77" s="2"/>
      <c r="AB77" s="3" t="n">
        <v>1442301</v>
      </c>
      <c r="AC77" s="2" t="s">
        <v>66</v>
      </c>
      <c r="AD77" s="2" t="s">
        <v>67</v>
      </c>
      <c r="AE77" s="2" t="s">
        <v>37</v>
      </c>
    </row>
    <row r="78" customFormat="false" ht="15" hidden="false" customHeight="false" outlineLevel="0" collapsed="false">
      <c r="A78" s="2" t="s">
        <v>154</v>
      </c>
      <c r="B78" s="2" t="s">
        <v>155</v>
      </c>
      <c r="C78" s="3" t="n">
        <v>327</v>
      </c>
      <c r="D78" s="2" t="s">
        <v>63</v>
      </c>
      <c r="E78" s="2" t="s">
        <v>64</v>
      </c>
      <c r="F78" s="3" t="n">
        <v>100</v>
      </c>
      <c r="G78" s="2" t="s">
        <v>65</v>
      </c>
      <c r="H78" s="4" t="n">
        <v>812.52</v>
      </c>
      <c r="I78" s="4" t="n">
        <v>81252</v>
      </c>
      <c r="J78" s="2"/>
      <c r="K78" s="5" t="n">
        <v>46203</v>
      </c>
      <c r="L78" s="3"/>
      <c r="M78" s="3"/>
      <c r="N78" s="3" t="n">
        <v>2</v>
      </c>
      <c r="O78" s="3"/>
      <c r="P78" s="2" t="s">
        <v>95</v>
      </c>
      <c r="Q78" s="2" t="s">
        <v>146</v>
      </c>
      <c r="R78" s="2" t="s">
        <v>97</v>
      </c>
      <c r="S78" s="5" t="n">
        <v>46205</v>
      </c>
      <c r="T78" s="2" t="s">
        <v>55</v>
      </c>
      <c r="U78" s="5" t="n">
        <v>46206</v>
      </c>
      <c r="V78" s="2" t="s">
        <v>98</v>
      </c>
      <c r="W78" s="2" t="s">
        <v>99</v>
      </c>
      <c r="X78" s="2"/>
      <c r="Y78" s="2"/>
      <c r="Z78" s="2" t="s">
        <v>100</v>
      </c>
      <c r="AA78" s="2" t="s">
        <v>101</v>
      </c>
      <c r="AB78" s="3" t="n">
        <v>1442301</v>
      </c>
      <c r="AC78" s="2" t="s">
        <v>66</v>
      </c>
      <c r="AD78" s="2" t="s">
        <v>67</v>
      </c>
      <c r="AE78" s="2" t="s">
        <v>37</v>
      </c>
    </row>
    <row r="79" customFormat="false" ht="15" hidden="false" customHeight="false" outlineLevel="0" collapsed="false">
      <c r="A79" s="2" t="s">
        <v>154</v>
      </c>
      <c r="B79" s="2" t="s">
        <v>155</v>
      </c>
      <c r="C79" s="3" t="n">
        <v>327</v>
      </c>
      <c r="D79" s="2" t="s">
        <v>63</v>
      </c>
      <c r="E79" s="2" t="s">
        <v>64</v>
      </c>
      <c r="F79" s="3" t="n">
        <v>100</v>
      </c>
      <c r="G79" s="2" t="s">
        <v>65</v>
      </c>
      <c r="H79" s="4" t="n">
        <v>810.3</v>
      </c>
      <c r="I79" s="4" t="n">
        <v>81030</v>
      </c>
      <c r="J79" s="2"/>
      <c r="K79" s="5" t="n">
        <v>46203</v>
      </c>
      <c r="L79" s="3"/>
      <c r="M79" s="3"/>
      <c r="N79" s="3" t="n">
        <v>6</v>
      </c>
      <c r="O79" s="3" t="n">
        <v>281</v>
      </c>
      <c r="P79" s="2" t="s">
        <v>95</v>
      </c>
      <c r="Q79" s="2" t="s">
        <v>146</v>
      </c>
      <c r="R79" s="2" t="s">
        <v>97</v>
      </c>
      <c r="S79" s="5" t="n">
        <v>46205</v>
      </c>
      <c r="T79" s="2" t="s">
        <v>55</v>
      </c>
      <c r="U79" s="5" t="n">
        <v>46206</v>
      </c>
      <c r="V79" s="2" t="s">
        <v>98</v>
      </c>
      <c r="W79" s="2" t="s">
        <v>99</v>
      </c>
      <c r="X79" s="2"/>
      <c r="Y79" s="2"/>
      <c r="Z79" s="2" t="s">
        <v>100</v>
      </c>
      <c r="AA79" s="2" t="s">
        <v>101</v>
      </c>
      <c r="AB79" s="3" t="n">
        <v>1442301</v>
      </c>
      <c r="AC79" s="2" t="s">
        <v>66</v>
      </c>
      <c r="AD79" s="2" t="s">
        <v>67</v>
      </c>
      <c r="AE79" s="2" t="s">
        <v>37</v>
      </c>
    </row>
    <row r="80" customFormat="false" ht="15" hidden="false" customHeight="false" outlineLevel="0" collapsed="false">
      <c r="A80" s="2" t="s">
        <v>154</v>
      </c>
      <c r="B80" s="2" t="s">
        <v>155</v>
      </c>
      <c r="C80" s="3" t="n">
        <v>327</v>
      </c>
      <c r="D80" s="2" t="s">
        <v>63</v>
      </c>
      <c r="E80" s="2" t="s">
        <v>64</v>
      </c>
      <c r="F80" s="3" t="n">
        <v>100</v>
      </c>
      <c r="G80" s="2" t="s">
        <v>65</v>
      </c>
      <c r="H80" s="4" t="n">
        <v>810.3</v>
      </c>
      <c r="I80" s="4" t="n">
        <v>810.3</v>
      </c>
      <c r="J80" s="2"/>
      <c r="K80" s="5" t="n">
        <v>46209</v>
      </c>
      <c r="L80" s="3"/>
      <c r="M80" s="3"/>
      <c r="N80" s="3" t="n">
        <v>15</v>
      </c>
      <c r="O80" s="3" t="n">
        <v>266</v>
      </c>
      <c r="P80" s="2" t="s">
        <v>138</v>
      </c>
      <c r="Q80" s="2" t="s">
        <v>139</v>
      </c>
      <c r="R80" s="2" t="s">
        <v>140</v>
      </c>
      <c r="S80" s="5" t="n">
        <v>46209</v>
      </c>
      <c r="T80" s="2" t="s">
        <v>55</v>
      </c>
      <c r="U80" s="5" t="n">
        <v>46212</v>
      </c>
      <c r="V80" s="2" t="s">
        <v>141</v>
      </c>
      <c r="W80" s="2" t="s">
        <v>142</v>
      </c>
      <c r="X80" s="2"/>
      <c r="Y80" s="2"/>
      <c r="Z80" s="2"/>
      <c r="AA80" s="2"/>
      <c r="AB80" s="3" t="n">
        <v>1442301</v>
      </c>
      <c r="AC80" s="2" t="s">
        <v>66</v>
      </c>
      <c r="AD80" s="2" t="s">
        <v>67</v>
      </c>
      <c r="AE80" s="2" t="s">
        <v>37</v>
      </c>
    </row>
    <row r="81" customFormat="false" ht="15" hidden="false" customHeight="false" outlineLevel="0" collapsed="false">
      <c r="A81" s="2" t="s">
        <v>154</v>
      </c>
      <c r="B81" s="2" t="s">
        <v>155</v>
      </c>
      <c r="C81" s="3" t="n">
        <v>327</v>
      </c>
      <c r="D81" s="2" t="s">
        <v>63</v>
      </c>
      <c r="E81" s="2" t="s">
        <v>64</v>
      </c>
      <c r="F81" s="3" t="n">
        <v>100</v>
      </c>
      <c r="G81" s="2" t="s">
        <v>65</v>
      </c>
      <c r="H81" s="4" t="n">
        <v>810.3</v>
      </c>
      <c r="I81" s="4" t="n">
        <v>810.3</v>
      </c>
      <c r="J81" s="2"/>
      <c r="K81" s="5" t="n">
        <v>46209</v>
      </c>
      <c r="L81" s="3"/>
      <c r="M81" s="3"/>
      <c r="N81" s="3" t="n">
        <v>10</v>
      </c>
      <c r="O81" s="3" t="n">
        <v>256</v>
      </c>
      <c r="P81" s="2" t="s">
        <v>85</v>
      </c>
      <c r="Q81" s="2" t="s">
        <v>86</v>
      </c>
      <c r="R81" s="2" t="s">
        <v>87</v>
      </c>
      <c r="S81" s="5" t="n">
        <v>46209</v>
      </c>
      <c r="T81" s="2" t="s">
        <v>51</v>
      </c>
      <c r="U81" s="5" t="n">
        <v>46212</v>
      </c>
      <c r="V81" s="2" t="s">
        <v>88</v>
      </c>
      <c r="W81" s="2" t="s">
        <v>89</v>
      </c>
      <c r="X81" s="2"/>
      <c r="Y81" s="2"/>
      <c r="Z81" s="2"/>
      <c r="AA81" s="2"/>
      <c r="AB81" s="3" t="n">
        <v>1442301</v>
      </c>
      <c r="AC81" s="2" t="s">
        <v>66</v>
      </c>
      <c r="AD81" s="2" t="s">
        <v>67</v>
      </c>
      <c r="AE81" s="2" t="s">
        <v>37</v>
      </c>
    </row>
    <row r="82" customFormat="false" ht="15" hidden="false" customHeight="false" outlineLevel="0" collapsed="false">
      <c r="A82" s="2" t="s">
        <v>154</v>
      </c>
      <c r="B82" s="2" t="s">
        <v>155</v>
      </c>
      <c r="C82" s="3" t="n">
        <v>327</v>
      </c>
      <c r="D82" s="2" t="s">
        <v>63</v>
      </c>
      <c r="E82" s="2" t="s">
        <v>64</v>
      </c>
      <c r="F82" s="3" t="n">
        <v>100</v>
      </c>
      <c r="G82" s="2" t="s">
        <v>65</v>
      </c>
      <c r="H82" s="4" t="n">
        <v>810.3</v>
      </c>
      <c r="I82" s="4" t="n">
        <v>810.3</v>
      </c>
      <c r="J82" s="2"/>
      <c r="K82" s="5" t="n">
        <v>46213</v>
      </c>
      <c r="L82" s="3"/>
      <c r="M82" s="3"/>
      <c r="N82" s="3" t="n">
        <v>9</v>
      </c>
      <c r="O82" s="3" t="n">
        <v>247</v>
      </c>
      <c r="P82" s="2" t="s">
        <v>162</v>
      </c>
      <c r="Q82" s="2" t="s">
        <v>163</v>
      </c>
      <c r="R82" s="2" t="s">
        <v>164</v>
      </c>
      <c r="S82" s="5" t="n">
        <v>46213</v>
      </c>
      <c r="T82" s="2" t="s">
        <v>51</v>
      </c>
      <c r="U82" s="5" t="n">
        <v>46213</v>
      </c>
      <c r="V82" s="2" t="s">
        <v>165</v>
      </c>
      <c r="W82" s="2" t="s">
        <v>166</v>
      </c>
      <c r="X82" s="2"/>
      <c r="Y82" s="2"/>
      <c r="Z82" s="2"/>
      <c r="AA82" s="2"/>
      <c r="AB82" s="3" t="n">
        <v>1442301</v>
      </c>
      <c r="AC82" s="2" t="s">
        <v>66</v>
      </c>
      <c r="AD82" s="2" t="s">
        <v>67</v>
      </c>
      <c r="AE82" s="2" t="s">
        <v>37</v>
      </c>
    </row>
    <row r="83" customFormat="false" ht="15" hidden="false" customHeight="false" outlineLevel="0" collapsed="false">
      <c r="A83" s="2" t="s">
        <v>154</v>
      </c>
      <c r="B83" s="2" t="s">
        <v>155</v>
      </c>
      <c r="C83" s="3" t="n">
        <v>327</v>
      </c>
      <c r="D83" s="2" t="s">
        <v>63</v>
      </c>
      <c r="E83" s="2" t="s">
        <v>64</v>
      </c>
      <c r="F83" s="3" t="n">
        <v>100</v>
      </c>
      <c r="G83" s="2" t="s">
        <v>65</v>
      </c>
      <c r="H83" s="4" t="n">
        <v>810.3</v>
      </c>
      <c r="I83" s="4" t="n">
        <v>810.3</v>
      </c>
      <c r="J83" s="2"/>
      <c r="K83" s="5" t="n">
        <v>46217</v>
      </c>
      <c r="L83" s="3"/>
      <c r="M83" s="3"/>
      <c r="N83" s="3" t="n">
        <v>4</v>
      </c>
      <c r="O83" s="3" t="n">
        <v>243</v>
      </c>
      <c r="P83" s="2"/>
      <c r="Q83" s="2" t="s">
        <v>96</v>
      </c>
      <c r="R83" s="2" t="s">
        <v>97</v>
      </c>
      <c r="S83" s="2"/>
      <c r="T83" s="2"/>
      <c r="U83" s="2"/>
      <c r="V83" s="2"/>
      <c r="W83" s="2"/>
      <c r="X83" s="2"/>
      <c r="Y83" s="2"/>
      <c r="Z83" s="2"/>
      <c r="AA83" s="2"/>
      <c r="AB83" s="3" t="n">
        <v>1442301</v>
      </c>
      <c r="AC83" s="2" t="s">
        <v>66</v>
      </c>
      <c r="AD83" s="2" t="s">
        <v>67</v>
      </c>
      <c r="AE83" s="2" t="s">
        <v>37</v>
      </c>
    </row>
    <row r="84" customFormat="false" ht="15" hidden="false" customHeight="false" outlineLevel="0" collapsed="false">
      <c r="A84" s="2" t="s">
        <v>167</v>
      </c>
      <c r="B84" s="2" t="s">
        <v>168</v>
      </c>
      <c r="C84" s="3" t="n">
        <v>135</v>
      </c>
      <c r="D84" s="2" t="s">
        <v>63</v>
      </c>
      <c r="E84" s="2" t="s">
        <v>64</v>
      </c>
      <c r="F84" s="3" t="n">
        <v>100</v>
      </c>
      <c r="G84" s="2" t="s">
        <v>73</v>
      </c>
      <c r="H84" s="4" t="n">
        <v>194.25</v>
      </c>
      <c r="I84" s="4" t="n">
        <v>194.25</v>
      </c>
      <c r="J84" s="5" t="n">
        <v>46185</v>
      </c>
      <c r="K84" s="2"/>
      <c r="L84" s="3" t="n">
        <v>135</v>
      </c>
      <c r="M84" s="3"/>
      <c r="N84" s="3"/>
      <c r="O84" s="3" t="n">
        <v>135</v>
      </c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3" t="n">
        <v>1442301</v>
      </c>
      <c r="AC84" s="2" t="s">
        <v>66</v>
      </c>
      <c r="AD84" s="2" t="s">
        <v>67</v>
      </c>
      <c r="AE84" s="2" t="s">
        <v>37</v>
      </c>
    </row>
    <row r="85" customFormat="false" ht="15" hidden="false" customHeight="false" outlineLevel="0" collapsed="false">
      <c r="A85" s="2" t="s">
        <v>167</v>
      </c>
      <c r="B85" s="2" t="s">
        <v>168</v>
      </c>
      <c r="C85" s="3" t="n">
        <v>135</v>
      </c>
      <c r="D85" s="2" t="s">
        <v>63</v>
      </c>
      <c r="E85" s="2" t="s">
        <v>64</v>
      </c>
      <c r="F85" s="3" t="n">
        <v>100</v>
      </c>
      <c r="G85" s="2" t="s">
        <v>73</v>
      </c>
      <c r="H85" s="4" t="n">
        <v>194.25</v>
      </c>
      <c r="I85" s="4" t="n">
        <v>194.25</v>
      </c>
      <c r="J85" s="2"/>
      <c r="K85" s="5" t="n">
        <v>46192</v>
      </c>
      <c r="L85" s="3"/>
      <c r="M85" s="3"/>
      <c r="N85" s="3" t="n">
        <v>3</v>
      </c>
      <c r="O85" s="3" t="n">
        <v>132</v>
      </c>
      <c r="P85" s="2"/>
      <c r="Q85" s="2" t="s">
        <v>68</v>
      </c>
      <c r="R85" s="2" t="s">
        <v>69</v>
      </c>
      <c r="S85" s="5" t="n">
        <v>46192</v>
      </c>
      <c r="T85" s="2" t="s">
        <v>51</v>
      </c>
      <c r="U85" s="5" t="n">
        <v>46192</v>
      </c>
      <c r="V85" s="2"/>
      <c r="W85" s="2" t="s">
        <v>70</v>
      </c>
      <c r="X85" s="2"/>
      <c r="Y85" s="2"/>
      <c r="Z85" s="2"/>
      <c r="AA85" s="2"/>
      <c r="AB85" s="3" t="n">
        <v>1442301</v>
      </c>
      <c r="AC85" s="2" t="s">
        <v>66</v>
      </c>
      <c r="AD85" s="2" t="s">
        <v>67</v>
      </c>
      <c r="AE85" s="2" t="s">
        <v>37</v>
      </c>
    </row>
    <row r="86" customFormat="false" ht="15" hidden="false" customHeight="false" outlineLevel="0" collapsed="false">
      <c r="A86" s="2" t="s">
        <v>169</v>
      </c>
      <c r="B86" s="2" t="s">
        <v>170</v>
      </c>
      <c r="C86" s="3" t="n">
        <v>109</v>
      </c>
      <c r="D86" s="2" t="s">
        <v>63</v>
      </c>
      <c r="E86" s="2" t="s">
        <v>64</v>
      </c>
      <c r="F86" s="3" t="n">
        <v>100</v>
      </c>
      <c r="G86" s="2" t="s">
        <v>73</v>
      </c>
      <c r="H86" s="4" t="n">
        <v>172.05</v>
      </c>
      <c r="I86" s="4" t="n">
        <v>172.05</v>
      </c>
      <c r="J86" s="5" t="n">
        <v>46185</v>
      </c>
      <c r="K86" s="2"/>
      <c r="L86" s="3" t="n">
        <v>109</v>
      </c>
      <c r="M86" s="3"/>
      <c r="N86" s="3"/>
      <c r="O86" s="3" t="n">
        <v>109</v>
      </c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3" t="n">
        <v>1442301</v>
      </c>
      <c r="AC86" s="2" t="s">
        <v>66</v>
      </c>
      <c r="AD86" s="2" t="s">
        <v>67</v>
      </c>
      <c r="AE86" s="2" t="s">
        <v>37</v>
      </c>
    </row>
    <row r="87" customFormat="false" ht="15" hidden="false" customHeight="false" outlineLevel="0" collapsed="false">
      <c r="A87" s="2" t="s">
        <v>169</v>
      </c>
      <c r="B87" s="2" t="s">
        <v>170</v>
      </c>
      <c r="C87" s="3" t="n">
        <v>109</v>
      </c>
      <c r="D87" s="2" t="s">
        <v>63</v>
      </c>
      <c r="E87" s="2" t="s">
        <v>64</v>
      </c>
      <c r="F87" s="3" t="n">
        <v>100</v>
      </c>
      <c r="G87" s="2" t="s">
        <v>73</v>
      </c>
      <c r="H87" s="4" t="n">
        <v>172.05</v>
      </c>
      <c r="I87" s="4" t="n">
        <v>172.05</v>
      </c>
      <c r="J87" s="2"/>
      <c r="K87" s="5" t="n">
        <v>46188</v>
      </c>
      <c r="L87" s="3"/>
      <c r="M87" s="3"/>
      <c r="N87" s="3" t="n">
        <v>3</v>
      </c>
      <c r="O87" s="3" t="n">
        <v>106</v>
      </c>
      <c r="P87" s="2" t="s">
        <v>123</v>
      </c>
      <c r="Q87" s="2" t="s">
        <v>124</v>
      </c>
      <c r="R87" s="2" t="s">
        <v>125</v>
      </c>
      <c r="S87" s="5" t="n">
        <v>46190</v>
      </c>
      <c r="T87" s="2" t="s">
        <v>55</v>
      </c>
      <c r="U87" s="5" t="n">
        <v>46192</v>
      </c>
      <c r="V87" s="2"/>
      <c r="W87" s="2"/>
      <c r="X87" s="2"/>
      <c r="Y87" s="2"/>
      <c r="Z87" s="2"/>
      <c r="AA87" s="2"/>
      <c r="AB87" s="3" t="n">
        <v>1442301</v>
      </c>
      <c r="AC87" s="2" t="s">
        <v>66</v>
      </c>
      <c r="AD87" s="2" t="s">
        <v>67</v>
      </c>
      <c r="AE87" s="2" t="s">
        <v>37</v>
      </c>
    </row>
    <row r="88" customFormat="false" ht="15" hidden="false" customHeight="false" outlineLevel="0" collapsed="false">
      <c r="A88" s="2" t="s">
        <v>169</v>
      </c>
      <c r="B88" s="2" t="s">
        <v>170</v>
      </c>
      <c r="C88" s="3" t="n">
        <v>109</v>
      </c>
      <c r="D88" s="2" t="s">
        <v>63</v>
      </c>
      <c r="E88" s="2" t="s">
        <v>64</v>
      </c>
      <c r="F88" s="3" t="n">
        <v>100</v>
      </c>
      <c r="G88" s="2" t="s">
        <v>73</v>
      </c>
      <c r="H88" s="4" t="n">
        <v>172.05</v>
      </c>
      <c r="I88" s="4" t="n">
        <v>172.05</v>
      </c>
      <c r="J88" s="2"/>
      <c r="K88" s="5" t="n">
        <v>46192</v>
      </c>
      <c r="L88" s="3"/>
      <c r="M88" s="3"/>
      <c r="N88" s="3" t="n">
        <v>5</v>
      </c>
      <c r="O88" s="3" t="n">
        <v>101</v>
      </c>
      <c r="P88" s="2"/>
      <c r="Q88" s="2" t="s">
        <v>68</v>
      </c>
      <c r="R88" s="2" t="s">
        <v>69</v>
      </c>
      <c r="S88" s="5" t="n">
        <v>46192</v>
      </c>
      <c r="T88" s="2" t="s">
        <v>51</v>
      </c>
      <c r="U88" s="5" t="n">
        <v>46192</v>
      </c>
      <c r="V88" s="2"/>
      <c r="W88" s="2" t="s">
        <v>70</v>
      </c>
      <c r="X88" s="2"/>
      <c r="Y88" s="2"/>
      <c r="Z88" s="2"/>
      <c r="AA88" s="2"/>
      <c r="AB88" s="3" t="n">
        <v>1442301</v>
      </c>
      <c r="AC88" s="2" t="s">
        <v>66</v>
      </c>
      <c r="AD88" s="2" t="s">
        <v>67</v>
      </c>
      <c r="AE88" s="2" t="s">
        <v>37</v>
      </c>
    </row>
    <row r="89" customFormat="false" ht="15" hidden="false" customHeight="false" outlineLevel="0" collapsed="false">
      <c r="A89" s="2" t="s">
        <v>171</v>
      </c>
      <c r="B89" s="2" t="s">
        <v>172</v>
      </c>
      <c r="C89" s="3" t="n">
        <v>64</v>
      </c>
      <c r="D89" s="2" t="s">
        <v>63</v>
      </c>
      <c r="E89" s="2" t="s">
        <v>64</v>
      </c>
      <c r="F89" s="3" t="n">
        <v>100</v>
      </c>
      <c r="G89" s="2" t="s">
        <v>73</v>
      </c>
      <c r="H89" s="4" t="n">
        <v>222</v>
      </c>
      <c r="I89" s="4" t="n">
        <v>222</v>
      </c>
      <c r="J89" s="5" t="n">
        <v>46185</v>
      </c>
      <c r="K89" s="2"/>
      <c r="L89" s="3" t="n">
        <v>64</v>
      </c>
      <c r="M89" s="3"/>
      <c r="N89" s="3"/>
      <c r="O89" s="3" t="n">
        <v>64</v>
      </c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3" t="n">
        <v>1442301</v>
      </c>
      <c r="AC89" s="2" t="s">
        <v>66</v>
      </c>
      <c r="AD89" s="2" t="s">
        <v>67</v>
      </c>
      <c r="AE89" s="2" t="s">
        <v>37</v>
      </c>
    </row>
    <row r="90" customFormat="false" ht="15" hidden="false" customHeight="false" outlineLevel="0" collapsed="false">
      <c r="A90" s="2" t="s">
        <v>171</v>
      </c>
      <c r="B90" s="2" t="s">
        <v>172</v>
      </c>
      <c r="C90" s="3" t="n">
        <v>64</v>
      </c>
      <c r="D90" s="2" t="s">
        <v>63</v>
      </c>
      <c r="E90" s="2" t="s">
        <v>64</v>
      </c>
      <c r="F90" s="3" t="n">
        <v>100</v>
      </c>
      <c r="G90" s="2" t="s">
        <v>73</v>
      </c>
      <c r="H90" s="4" t="n">
        <v>222</v>
      </c>
      <c r="I90" s="4" t="n">
        <v>222</v>
      </c>
      <c r="J90" s="2"/>
      <c r="K90" s="5" t="n">
        <v>46188</v>
      </c>
      <c r="L90" s="3"/>
      <c r="M90" s="3"/>
      <c r="N90" s="3" t="n">
        <v>2</v>
      </c>
      <c r="O90" s="3" t="n">
        <v>62</v>
      </c>
      <c r="P90" s="2" t="s">
        <v>108</v>
      </c>
      <c r="Q90" s="2" t="s">
        <v>109</v>
      </c>
      <c r="R90" s="2" t="s">
        <v>110</v>
      </c>
      <c r="S90" s="5" t="n">
        <v>46191</v>
      </c>
      <c r="T90" s="2" t="s">
        <v>55</v>
      </c>
      <c r="U90" s="5" t="n">
        <v>46193</v>
      </c>
      <c r="V90" s="2" t="s">
        <v>111</v>
      </c>
      <c r="W90" s="2" t="s">
        <v>112</v>
      </c>
      <c r="X90" s="2"/>
      <c r="Y90" s="2"/>
      <c r="Z90" s="2"/>
      <c r="AA90" s="2"/>
      <c r="AB90" s="3" t="n">
        <v>1442301</v>
      </c>
      <c r="AC90" s="2" t="s">
        <v>66</v>
      </c>
      <c r="AD90" s="2" t="s">
        <v>67</v>
      </c>
      <c r="AE90" s="2" t="s">
        <v>37</v>
      </c>
    </row>
    <row r="91" customFormat="false" ht="15" hidden="false" customHeight="false" outlineLevel="0" collapsed="false">
      <c r="A91" s="2" t="s">
        <v>171</v>
      </c>
      <c r="B91" s="2" t="s">
        <v>172</v>
      </c>
      <c r="C91" s="3" t="n">
        <v>64</v>
      </c>
      <c r="D91" s="2" t="s">
        <v>63</v>
      </c>
      <c r="E91" s="2" t="s">
        <v>64</v>
      </c>
      <c r="F91" s="3" t="n">
        <v>100</v>
      </c>
      <c r="G91" s="2" t="s">
        <v>73</v>
      </c>
      <c r="H91" s="4" t="n">
        <v>222</v>
      </c>
      <c r="I91" s="4" t="n">
        <v>222</v>
      </c>
      <c r="J91" s="2"/>
      <c r="K91" s="5" t="n">
        <v>46192</v>
      </c>
      <c r="L91" s="3"/>
      <c r="M91" s="3"/>
      <c r="N91" s="3" t="n">
        <v>2</v>
      </c>
      <c r="O91" s="3" t="n">
        <v>60</v>
      </c>
      <c r="P91" s="2" t="s">
        <v>82</v>
      </c>
      <c r="Q91" s="2" t="s">
        <v>83</v>
      </c>
      <c r="R91" s="2" t="s">
        <v>84</v>
      </c>
      <c r="S91" s="5" t="n">
        <v>46192</v>
      </c>
      <c r="T91" s="2" t="s">
        <v>51</v>
      </c>
      <c r="U91" s="5" t="n">
        <v>46192</v>
      </c>
      <c r="V91" s="2"/>
      <c r="W91" s="2"/>
      <c r="X91" s="2"/>
      <c r="Y91" s="2"/>
      <c r="Z91" s="2"/>
      <c r="AA91" s="2"/>
      <c r="AB91" s="3" t="n">
        <v>1442301</v>
      </c>
      <c r="AC91" s="2" t="s">
        <v>66</v>
      </c>
      <c r="AD91" s="2" t="s">
        <v>67</v>
      </c>
      <c r="AE91" s="2" t="s">
        <v>37</v>
      </c>
    </row>
    <row r="92" customFormat="false" ht="15" hidden="false" customHeight="false" outlineLevel="0" collapsed="false">
      <c r="A92" s="2" t="s">
        <v>171</v>
      </c>
      <c r="B92" s="2" t="s">
        <v>172</v>
      </c>
      <c r="C92" s="3" t="n">
        <v>64</v>
      </c>
      <c r="D92" s="2" t="s">
        <v>63</v>
      </c>
      <c r="E92" s="2" t="s">
        <v>64</v>
      </c>
      <c r="F92" s="3" t="n">
        <v>100</v>
      </c>
      <c r="G92" s="2" t="s">
        <v>73</v>
      </c>
      <c r="H92" s="4" t="n">
        <v>222</v>
      </c>
      <c r="I92" s="4" t="n">
        <v>222</v>
      </c>
      <c r="J92" s="2"/>
      <c r="K92" s="5" t="n">
        <v>46192</v>
      </c>
      <c r="L92" s="3"/>
      <c r="M92" s="3"/>
      <c r="N92" s="3" t="n">
        <v>1</v>
      </c>
      <c r="O92" s="3" t="n">
        <v>59</v>
      </c>
      <c r="P92" s="2"/>
      <c r="Q92" s="2" t="s">
        <v>68</v>
      </c>
      <c r="R92" s="2" t="s">
        <v>69</v>
      </c>
      <c r="S92" s="5" t="n">
        <v>46192</v>
      </c>
      <c r="T92" s="2" t="s">
        <v>51</v>
      </c>
      <c r="U92" s="5" t="n">
        <v>46192</v>
      </c>
      <c r="V92" s="2"/>
      <c r="W92" s="2" t="s">
        <v>70</v>
      </c>
      <c r="X92" s="2"/>
      <c r="Y92" s="2"/>
      <c r="Z92" s="2"/>
      <c r="AA92" s="2"/>
      <c r="AB92" s="3" t="n">
        <v>1442301</v>
      </c>
      <c r="AC92" s="2" t="s">
        <v>66</v>
      </c>
      <c r="AD92" s="2" t="s">
        <v>67</v>
      </c>
      <c r="AE92" s="2" t="s">
        <v>37</v>
      </c>
    </row>
    <row r="93" customFormat="false" ht="15" hidden="false" customHeight="false" outlineLevel="0" collapsed="false">
      <c r="A93" s="2" t="s">
        <v>171</v>
      </c>
      <c r="B93" s="2" t="s">
        <v>172</v>
      </c>
      <c r="C93" s="3" t="n">
        <v>64</v>
      </c>
      <c r="D93" s="2" t="s">
        <v>63</v>
      </c>
      <c r="E93" s="2" t="s">
        <v>64</v>
      </c>
      <c r="F93" s="3" t="n">
        <v>100</v>
      </c>
      <c r="G93" s="2" t="s">
        <v>73</v>
      </c>
      <c r="H93" s="4" t="n">
        <v>222</v>
      </c>
      <c r="I93" s="4" t="n">
        <v>222</v>
      </c>
      <c r="J93" s="2"/>
      <c r="K93" s="5" t="n">
        <v>46191</v>
      </c>
      <c r="L93" s="3"/>
      <c r="M93" s="3"/>
      <c r="N93" s="3" t="n">
        <v>2</v>
      </c>
      <c r="O93" s="3" t="n">
        <v>57</v>
      </c>
      <c r="P93" s="2" t="s">
        <v>159</v>
      </c>
      <c r="Q93" s="2" t="s">
        <v>160</v>
      </c>
      <c r="R93" s="2" t="s">
        <v>161</v>
      </c>
      <c r="S93" s="5" t="n">
        <v>46191</v>
      </c>
      <c r="T93" s="2" t="s">
        <v>55</v>
      </c>
      <c r="U93" s="5" t="n">
        <v>46191</v>
      </c>
      <c r="V93" s="2"/>
      <c r="W93" s="2"/>
      <c r="X93" s="2"/>
      <c r="Y93" s="2"/>
      <c r="Z93" s="2"/>
      <c r="AA93" s="2"/>
      <c r="AB93" s="3" t="n">
        <v>1442301</v>
      </c>
      <c r="AC93" s="2" t="s">
        <v>66</v>
      </c>
      <c r="AD93" s="2" t="s">
        <v>67</v>
      </c>
      <c r="AE93" s="2" t="s">
        <v>37</v>
      </c>
    </row>
    <row r="94" customFormat="false" ht="15" hidden="false" customHeight="false" outlineLevel="0" collapsed="false">
      <c r="A94" s="2" t="s">
        <v>171</v>
      </c>
      <c r="B94" s="2" t="s">
        <v>172</v>
      </c>
      <c r="C94" s="3" t="n">
        <v>64</v>
      </c>
      <c r="D94" s="2" t="s">
        <v>63</v>
      </c>
      <c r="E94" s="2" t="s">
        <v>64</v>
      </c>
      <c r="F94" s="3" t="n">
        <v>100</v>
      </c>
      <c r="G94" s="2" t="s">
        <v>73</v>
      </c>
      <c r="H94" s="4" t="n">
        <v>222</v>
      </c>
      <c r="I94" s="4" t="n">
        <v>222</v>
      </c>
      <c r="J94" s="2"/>
      <c r="K94" s="5" t="n">
        <v>46205</v>
      </c>
      <c r="L94" s="3"/>
      <c r="M94" s="3"/>
      <c r="N94" s="3" t="n">
        <v>1</v>
      </c>
      <c r="O94" s="3" t="n">
        <v>56</v>
      </c>
      <c r="P94" s="2" t="s">
        <v>85</v>
      </c>
      <c r="Q94" s="2" t="s">
        <v>86</v>
      </c>
      <c r="R94" s="2" t="s">
        <v>87</v>
      </c>
      <c r="S94" s="5" t="n">
        <v>46209</v>
      </c>
      <c r="T94" s="2" t="s">
        <v>51</v>
      </c>
      <c r="U94" s="5" t="n">
        <v>46212</v>
      </c>
      <c r="V94" s="2" t="s">
        <v>88</v>
      </c>
      <c r="W94" s="2" t="s">
        <v>89</v>
      </c>
      <c r="X94" s="2"/>
      <c r="Y94" s="2"/>
      <c r="Z94" s="2"/>
      <c r="AA94" s="2"/>
      <c r="AB94" s="3" t="n">
        <v>1442301</v>
      </c>
      <c r="AC94" s="2" t="s">
        <v>66</v>
      </c>
      <c r="AD94" s="2" t="s">
        <v>67</v>
      </c>
      <c r="AE94" s="2" t="s">
        <v>37</v>
      </c>
    </row>
    <row r="95" customFormat="false" ht="15" hidden="false" customHeight="false" outlineLevel="0" collapsed="false">
      <c r="A95" s="2" t="s">
        <v>171</v>
      </c>
      <c r="B95" s="2" t="s">
        <v>172</v>
      </c>
      <c r="C95" s="3" t="n">
        <v>64</v>
      </c>
      <c r="D95" s="2" t="s">
        <v>63</v>
      </c>
      <c r="E95" s="2" t="s">
        <v>64</v>
      </c>
      <c r="F95" s="3" t="n">
        <v>100</v>
      </c>
      <c r="G95" s="2" t="s">
        <v>73</v>
      </c>
      <c r="H95" s="4" t="n">
        <v>222</v>
      </c>
      <c r="I95" s="4" t="n">
        <v>222</v>
      </c>
      <c r="J95" s="2"/>
      <c r="K95" s="5" t="n">
        <v>46213</v>
      </c>
      <c r="L95" s="3"/>
      <c r="M95" s="3"/>
      <c r="N95" s="3" t="n">
        <v>7</v>
      </c>
      <c r="O95" s="3" t="n">
        <v>49</v>
      </c>
      <c r="P95" s="2" t="s">
        <v>162</v>
      </c>
      <c r="Q95" s="2" t="s">
        <v>163</v>
      </c>
      <c r="R95" s="2" t="s">
        <v>164</v>
      </c>
      <c r="S95" s="5" t="n">
        <v>46213</v>
      </c>
      <c r="T95" s="2" t="s">
        <v>51</v>
      </c>
      <c r="U95" s="5" t="n">
        <v>46213</v>
      </c>
      <c r="V95" s="2" t="s">
        <v>165</v>
      </c>
      <c r="W95" s="2" t="s">
        <v>166</v>
      </c>
      <c r="X95" s="2"/>
      <c r="Y95" s="2"/>
      <c r="Z95" s="2"/>
      <c r="AA95" s="2"/>
      <c r="AB95" s="3" t="n">
        <v>1442301</v>
      </c>
      <c r="AC95" s="2" t="s">
        <v>66</v>
      </c>
      <c r="AD95" s="2" t="s">
        <v>67</v>
      </c>
      <c r="AE95" s="2" t="s">
        <v>37</v>
      </c>
    </row>
    <row r="96" customFormat="false" ht="15" hidden="false" customHeight="false" outlineLevel="0" collapsed="false">
      <c r="A96" s="2" t="s">
        <v>173</v>
      </c>
      <c r="B96" s="2" t="s">
        <v>174</v>
      </c>
      <c r="C96" s="3" t="n">
        <v>32</v>
      </c>
      <c r="D96" s="2" t="s">
        <v>63</v>
      </c>
      <c r="E96" s="2" t="s">
        <v>64</v>
      </c>
      <c r="F96" s="3" t="n">
        <v>100</v>
      </c>
      <c r="G96" s="2" t="s">
        <v>33</v>
      </c>
      <c r="H96" s="4" t="n">
        <v>2025.75</v>
      </c>
      <c r="I96" s="4" t="n">
        <v>2025.75</v>
      </c>
      <c r="J96" s="5" t="n">
        <v>46185</v>
      </c>
      <c r="K96" s="2"/>
      <c r="L96" s="3" t="n">
        <v>32</v>
      </c>
      <c r="M96" s="3"/>
      <c r="N96" s="3"/>
      <c r="O96" s="3" t="n">
        <v>32</v>
      </c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3" t="n">
        <v>1442102</v>
      </c>
      <c r="AC96" s="2" t="s">
        <v>175</v>
      </c>
      <c r="AD96" s="2" t="s">
        <v>176</v>
      </c>
      <c r="AE96" s="2" t="s">
        <v>37</v>
      </c>
    </row>
    <row r="97" customFormat="false" ht="15" hidden="false" customHeight="false" outlineLevel="0" collapsed="false">
      <c r="A97" s="2" t="s">
        <v>173</v>
      </c>
      <c r="B97" s="2" t="s">
        <v>174</v>
      </c>
      <c r="C97" s="3" t="n">
        <v>32</v>
      </c>
      <c r="D97" s="2" t="s">
        <v>63</v>
      </c>
      <c r="E97" s="2" t="s">
        <v>64</v>
      </c>
      <c r="F97" s="3" t="n">
        <v>100</v>
      </c>
      <c r="G97" s="2" t="s">
        <v>33</v>
      </c>
      <c r="H97" s="4" t="n">
        <v>2025.75</v>
      </c>
      <c r="I97" s="4" t="n">
        <v>2025.75</v>
      </c>
      <c r="J97" s="2"/>
      <c r="K97" s="5" t="n">
        <v>46191</v>
      </c>
      <c r="L97" s="3"/>
      <c r="M97" s="3"/>
      <c r="N97" s="3" t="n">
        <v>1</v>
      </c>
      <c r="O97" s="3" t="n">
        <v>31</v>
      </c>
      <c r="P97" s="2" t="s">
        <v>135</v>
      </c>
      <c r="Q97" s="2" t="s">
        <v>136</v>
      </c>
      <c r="R97" s="2" t="s">
        <v>137</v>
      </c>
      <c r="S97" s="5" t="n">
        <v>46191</v>
      </c>
      <c r="T97" s="2" t="s">
        <v>51</v>
      </c>
      <c r="U97" s="5" t="n">
        <v>46196</v>
      </c>
      <c r="V97" s="2"/>
      <c r="W97" s="2"/>
      <c r="X97" s="2" t="s">
        <v>177</v>
      </c>
      <c r="Y97" s="2" t="s">
        <v>178</v>
      </c>
      <c r="Z97" s="2"/>
      <c r="AA97" s="2"/>
      <c r="AB97" s="3" t="n">
        <v>1442102</v>
      </c>
      <c r="AC97" s="2" t="s">
        <v>175</v>
      </c>
      <c r="AD97" s="2" t="s">
        <v>176</v>
      </c>
      <c r="AE97" s="2" t="s">
        <v>37</v>
      </c>
    </row>
    <row r="98" customFormat="false" ht="15" hidden="false" customHeight="false" outlineLevel="0" collapsed="false">
      <c r="A98" s="2" t="s">
        <v>173</v>
      </c>
      <c r="B98" s="2" t="s">
        <v>174</v>
      </c>
      <c r="C98" s="3" t="n">
        <v>32</v>
      </c>
      <c r="D98" s="2" t="s">
        <v>63</v>
      </c>
      <c r="E98" s="2" t="s">
        <v>64</v>
      </c>
      <c r="F98" s="3" t="n">
        <v>100</v>
      </c>
      <c r="G98" s="2" t="s">
        <v>33</v>
      </c>
      <c r="H98" s="4" t="n">
        <v>2025.75</v>
      </c>
      <c r="I98" s="4" t="n">
        <v>2025.75</v>
      </c>
      <c r="J98" s="2"/>
      <c r="K98" s="5" t="n">
        <v>46192</v>
      </c>
      <c r="L98" s="3"/>
      <c r="M98" s="3"/>
      <c r="N98" s="3" t="n">
        <v>2</v>
      </c>
      <c r="O98" s="3" t="n">
        <v>29</v>
      </c>
      <c r="P98" s="2" t="s">
        <v>82</v>
      </c>
      <c r="Q98" s="2" t="s">
        <v>83</v>
      </c>
      <c r="R98" s="2" t="s">
        <v>84</v>
      </c>
      <c r="S98" s="5" t="n">
        <v>46192</v>
      </c>
      <c r="T98" s="2" t="s">
        <v>51</v>
      </c>
      <c r="U98" s="5" t="n">
        <v>46192</v>
      </c>
      <c r="V98" s="2"/>
      <c r="W98" s="2"/>
      <c r="X98" s="2" t="s">
        <v>179</v>
      </c>
      <c r="Y98" s="2" t="s">
        <v>180</v>
      </c>
      <c r="Z98" s="2"/>
      <c r="AA98" s="2"/>
      <c r="AB98" s="3" t="n">
        <v>1442102</v>
      </c>
      <c r="AC98" s="2" t="s">
        <v>175</v>
      </c>
      <c r="AD98" s="2" t="s">
        <v>176</v>
      </c>
      <c r="AE98" s="2" t="s">
        <v>37</v>
      </c>
    </row>
    <row r="99" customFormat="false" ht="15" hidden="false" customHeight="false" outlineLevel="0" collapsed="false">
      <c r="A99" s="2" t="s">
        <v>173</v>
      </c>
      <c r="B99" s="2" t="s">
        <v>174</v>
      </c>
      <c r="C99" s="3" t="n">
        <v>32</v>
      </c>
      <c r="D99" s="2" t="s">
        <v>63</v>
      </c>
      <c r="E99" s="2" t="s">
        <v>64</v>
      </c>
      <c r="F99" s="3" t="n">
        <v>100</v>
      </c>
      <c r="G99" s="2" t="s">
        <v>33</v>
      </c>
      <c r="H99" s="4" t="n">
        <v>2025.75</v>
      </c>
      <c r="I99" s="4" t="n">
        <v>2025.75</v>
      </c>
      <c r="J99" s="2"/>
      <c r="K99" s="5" t="n">
        <v>46192</v>
      </c>
      <c r="L99" s="3"/>
      <c r="M99" s="3"/>
      <c r="N99" s="3" t="n">
        <v>1</v>
      </c>
      <c r="O99" s="3" t="n">
        <v>28</v>
      </c>
      <c r="P99" s="2"/>
      <c r="Q99" s="2" t="s">
        <v>68</v>
      </c>
      <c r="R99" s="2" t="s">
        <v>69</v>
      </c>
      <c r="S99" s="5" t="n">
        <v>46192</v>
      </c>
      <c r="T99" s="2" t="s">
        <v>51</v>
      </c>
      <c r="U99" s="5" t="n">
        <v>46192</v>
      </c>
      <c r="V99" s="2"/>
      <c r="W99" s="2" t="s">
        <v>70</v>
      </c>
      <c r="X99" s="2" t="s">
        <v>181</v>
      </c>
      <c r="Y99" s="2" t="s">
        <v>182</v>
      </c>
      <c r="Z99" s="2"/>
      <c r="AA99" s="2"/>
      <c r="AB99" s="3" t="n">
        <v>1442102</v>
      </c>
      <c r="AC99" s="2" t="s">
        <v>175</v>
      </c>
      <c r="AD99" s="2" t="s">
        <v>176</v>
      </c>
      <c r="AE99" s="2" t="s">
        <v>37</v>
      </c>
    </row>
    <row r="100" customFormat="false" ht="15" hidden="false" customHeight="false" outlineLevel="0" collapsed="false">
      <c r="A100" s="2" t="s">
        <v>173</v>
      </c>
      <c r="B100" s="2" t="s">
        <v>174</v>
      </c>
      <c r="C100" s="3" t="n">
        <v>32</v>
      </c>
      <c r="D100" s="2" t="s">
        <v>63</v>
      </c>
      <c r="E100" s="2" t="s">
        <v>64</v>
      </c>
      <c r="F100" s="3" t="n">
        <v>100</v>
      </c>
      <c r="G100" s="2" t="s">
        <v>33</v>
      </c>
      <c r="H100" s="4" t="n">
        <v>2025.75</v>
      </c>
      <c r="I100" s="4" t="n">
        <v>2025.75</v>
      </c>
      <c r="J100" s="2"/>
      <c r="K100" s="5" t="n">
        <v>46203</v>
      </c>
      <c r="L100" s="3"/>
      <c r="M100" s="3"/>
      <c r="N100" s="3" t="n">
        <v>5</v>
      </c>
      <c r="O100" s="3" t="n">
        <v>23</v>
      </c>
      <c r="P100" s="2" t="s">
        <v>95</v>
      </c>
      <c r="Q100" s="2" t="s">
        <v>146</v>
      </c>
      <c r="R100" s="2" t="s">
        <v>97</v>
      </c>
      <c r="S100" s="5" t="n">
        <v>46205</v>
      </c>
      <c r="T100" s="2" t="s">
        <v>55</v>
      </c>
      <c r="U100" s="5" t="n">
        <v>46206</v>
      </c>
      <c r="V100" s="2" t="s">
        <v>98</v>
      </c>
      <c r="W100" s="2" t="s">
        <v>99</v>
      </c>
      <c r="X100" s="2" t="s">
        <v>183</v>
      </c>
      <c r="Y100" s="2" t="s">
        <v>184</v>
      </c>
      <c r="Z100" s="2" t="s">
        <v>100</v>
      </c>
      <c r="AA100" s="2" t="s">
        <v>101</v>
      </c>
      <c r="AB100" s="3" t="n">
        <v>1442102</v>
      </c>
      <c r="AC100" s="2" t="s">
        <v>175</v>
      </c>
      <c r="AD100" s="2" t="s">
        <v>176</v>
      </c>
      <c r="AE100" s="2" t="s">
        <v>37</v>
      </c>
    </row>
    <row r="101" customFormat="false" ht="15" hidden="false" customHeight="false" outlineLevel="0" collapsed="false">
      <c r="A101" s="2" t="s">
        <v>173</v>
      </c>
      <c r="B101" s="2" t="s">
        <v>174</v>
      </c>
      <c r="C101" s="3" t="n">
        <v>32</v>
      </c>
      <c r="D101" s="2" t="s">
        <v>63</v>
      </c>
      <c r="E101" s="2" t="s">
        <v>64</v>
      </c>
      <c r="F101" s="3" t="n">
        <v>100</v>
      </c>
      <c r="G101" s="2" t="s">
        <v>33</v>
      </c>
      <c r="H101" s="4" t="n">
        <v>2025.75</v>
      </c>
      <c r="I101" s="4" t="n">
        <v>2025.75</v>
      </c>
      <c r="J101" s="2"/>
      <c r="K101" s="5" t="n">
        <v>46209</v>
      </c>
      <c r="L101" s="3"/>
      <c r="M101" s="3"/>
      <c r="N101" s="3" t="n">
        <v>5</v>
      </c>
      <c r="O101" s="3" t="n">
        <v>18</v>
      </c>
      <c r="P101" s="2" t="s">
        <v>138</v>
      </c>
      <c r="Q101" s="2" t="s">
        <v>139</v>
      </c>
      <c r="R101" s="2" t="s">
        <v>140</v>
      </c>
      <c r="S101" s="5" t="n">
        <v>46209</v>
      </c>
      <c r="T101" s="2" t="s">
        <v>55</v>
      </c>
      <c r="U101" s="5" t="n">
        <v>46212</v>
      </c>
      <c r="V101" s="2" t="s">
        <v>141</v>
      </c>
      <c r="W101" s="2" t="s">
        <v>142</v>
      </c>
      <c r="X101" s="2" t="s">
        <v>185</v>
      </c>
      <c r="Y101" s="2" t="s">
        <v>186</v>
      </c>
      <c r="Z101" s="2"/>
      <c r="AA101" s="2"/>
      <c r="AB101" s="3" t="n">
        <v>1442102</v>
      </c>
      <c r="AC101" s="2" t="s">
        <v>175</v>
      </c>
      <c r="AD101" s="2" t="s">
        <v>176</v>
      </c>
      <c r="AE101" s="2" t="s">
        <v>37</v>
      </c>
    </row>
    <row r="102" customFormat="false" ht="15" hidden="false" customHeight="false" outlineLevel="0" collapsed="false">
      <c r="A102" s="2" t="s">
        <v>173</v>
      </c>
      <c r="B102" s="2" t="s">
        <v>174</v>
      </c>
      <c r="C102" s="3" t="n">
        <v>32</v>
      </c>
      <c r="D102" s="2" t="s">
        <v>63</v>
      </c>
      <c r="E102" s="2" t="s">
        <v>64</v>
      </c>
      <c r="F102" s="3" t="n">
        <v>100</v>
      </c>
      <c r="G102" s="2" t="s">
        <v>33</v>
      </c>
      <c r="H102" s="4" t="n">
        <v>2025.75</v>
      </c>
      <c r="I102" s="4" t="n">
        <v>2025.75</v>
      </c>
      <c r="J102" s="2"/>
      <c r="K102" s="5" t="n">
        <v>46209</v>
      </c>
      <c r="L102" s="3"/>
      <c r="M102" s="3"/>
      <c r="N102" s="3" t="n">
        <v>5</v>
      </c>
      <c r="O102" s="3" t="n">
        <v>13</v>
      </c>
      <c r="P102" s="2" t="s">
        <v>85</v>
      </c>
      <c r="Q102" s="2" t="s">
        <v>86</v>
      </c>
      <c r="R102" s="2" t="s">
        <v>87</v>
      </c>
      <c r="S102" s="5" t="n">
        <v>46209</v>
      </c>
      <c r="T102" s="2" t="s">
        <v>51</v>
      </c>
      <c r="U102" s="5" t="n">
        <v>46212</v>
      </c>
      <c r="V102" s="2" t="s">
        <v>88</v>
      </c>
      <c r="W102" s="2" t="s">
        <v>89</v>
      </c>
      <c r="X102" s="2" t="s">
        <v>187</v>
      </c>
      <c r="Y102" s="2" t="s">
        <v>188</v>
      </c>
      <c r="Z102" s="2"/>
      <c r="AA102" s="2"/>
      <c r="AB102" s="3" t="n">
        <v>1442102</v>
      </c>
      <c r="AC102" s="2" t="s">
        <v>175</v>
      </c>
      <c r="AD102" s="2" t="s">
        <v>176</v>
      </c>
      <c r="AE102" s="2" t="s">
        <v>37</v>
      </c>
    </row>
    <row r="103" customFormat="false" ht="15" hidden="false" customHeight="false" outlineLevel="0" collapsed="false">
      <c r="A103" s="2" t="s">
        <v>173</v>
      </c>
      <c r="B103" s="2" t="s">
        <v>174</v>
      </c>
      <c r="C103" s="3" t="n">
        <v>32</v>
      </c>
      <c r="D103" s="2" t="s">
        <v>63</v>
      </c>
      <c r="E103" s="2" t="s">
        <v>64</v>
      </c>
      <c r="F103" s="3" t="n">
        <v>100</v>
      </c>
      <c r="G103" s="2" t="s">
        <v>33</v>
      </c>
      <c r="H103" s="4" t="n">
        <v>2025.75</v>
      </c>
      <c r="I103" s="4" t="n">
        <v>2025.75</v>
      </c>
      <c r="J103" s="2"/>
      <c r="K103" s="5" t="n">
        <v>46213</v>
      </c>
      <c r="L103" s="3"/>
      <c r="M103" s="3"/>
      <c r="N103" s="3" t="n">
        <v>3</v>
      </c>
      <c r="O103" s="3" t="n">
        <v>10</v>
      </c>
      <c r="P103" s="2" t="s">
        <v>162</v>
      </c>
      <c r="Q103" s="2" t="s">
        <v>163</v>
      </c>
      <c r="R103" s="2" t="s">
        <v>164</v>
      </c>
      <c r="S103" s="5" t="n">
        <v>46213</v>
      </c>
      <c r="T103" s="2" t="s">
        <v>51</v>
      </c>
      <c r="U103" s="5" t="n">
        <v>46213</v>
      </c>
      <c r="V103" s="2" t="s">
        <v>165</v>
      </c>
      <c r="W103" s="2" t="s">
        <v>166</v>
      </c>
      <c r="X103" s="2" t="s">
        <v>189</v>
      </c>
      <c r="Y103" s="2" t="s">
        <v>190</v>
      </c>
      <c r="Z103" s="2"/>
      <c r="AA103" s="2"/>
      <c r="AB103" s="3" t="n">
        <v>1442102</v>
      </c>
      <c r="AC103" s="2" t="s">
        <v>175</v>
      </c>
      <c r="AD103" s="2" t="s">
        <v>176</v>
      </c>
      <c r="AE103" s="2" t="s">
        <v>37</v>
      </c>
    </row>
    <row r="104" customFormat="false" ht="15" hidden="false" customHeight="false" outlineLevel="0" collapsed="false">
      <c r="A104" s="2" t="s">
        <v>191</v>
      </c>
      <c r="B104" s="2" t="s">
        <v>192</v>
      </c>
      <c r="C104" s="3" t="n">
        <v>150</v>
      </c>
      <c r="D104" s="2" t="s">
        <v>63</v>
      </c>
      <c r="E104" s="2" t="s">
        <v>64</v>
      </c>
      <c r="F104" s="3" t="n">
        <v>100</v>
      </c>
      <c r="G104" s="2" t="s">
        <v>33</v>
      </c>
      <c r="H104" s="4" t="n">
        <v>2053.5</v>
      </c>
      <c r="I104" s="4" t="n">
        <v>2053.5</v>
      </c>
      <c r="J104" s="5" t="n">
        <v>46185</v>
      </c>
      <c r="K104" s="2"/>
      <c r="L104" s="3" t="n">
        <v>152</v>
      </c>
      <c r="M104" s="3"/>
      <c r="N104" s="3"/>
      <c r="O104" s="3" t="n">
        <v>152</v>
      </c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3" t="n">
        <v>1442102</v>
      </c>
      <c r="AC104" s="2" t="s">
        <v>175</v>
      </c>
      <c r="AD104" s="2" t="s">
        <v>176</v>
      </c>
      <c r="AE104" s="2" t="s">
        <v>37</v>
      </c>
    </row>
    <row r="105" customFormat="false" ht="15" hidden="false" customHeight="false" outlineLevel="0" collapsed="false">
      <c r="A105" s="2" t="s">
        <v>191</v>
      </c>
      <c r="B105" s="2" t="s">
        <v>192</v>
      </c>
      <c r="C105" s="3" t="n">
        <v>150</v>
      </c>
      <c r="D105" s="2" t="s">
        <v>63</v>
      </c>
      <c r="E105" s="2" t="s">
        <v>64</v>
      </c>
      <c r="F105" s="3" t="n">
        <v>100</v>
      </c>
      <c r="G105" s="2" t="s">
        <v>33</v>
      </c>
      <c r="H105" s="4" t="n">
        <v>2053.5</v>
      </c>
      <c r="I105" s="4" t="n">
        <v>2053.5</v>
      </c>
      <c r="J105" s="2"/>
      <c r="K105" s="5" t="n">
        <v>46191</v>
      </c>
      <c r="L105" s="3"/>
      <c r="M105" s="3"/>
      <c r="N105" s="3" t="n">
        <v>1</v>
      </c>
      <c r="O105" s="3" t="n">
        <v>151</v>
      </c>
      <c r="P105" s="2" t="s">
        <v>135</v>
      </c>
      <c r="Q105" s="2" t="s">
        <v>136</v>
      </c>
      <c r="R105" s="2" t="s">
        <v>137</v>
      </c>
      <c r="S105" s="5" t="n">
        <v>46191</v>
      </c>
      <c r="T105" s="2" t="s">
        <v>51</v>
      </c>
      <c r="U105" s="5" t="n">
        <v>46196</v>
      </c>
      <c r="V105" s="2"/>
      <c r="W105" s="2"/>
      <c r="X105" s="2" t="s">
        <v>193</v>
      </c>
      <c r="Y105" s="2" t="s">
        <v>194</v>
      </c>
      <c r="Z105" s="2"/>
      <c r="AA105" s="2"/>
      <c r="AB105" s="3" t="n">
        <v>1442102</v>
      </c>
      <c r="AC105" s="2" t="s">
        <v>175</v>
      </c>
      <c r="AD105" s="2" t="s">
        <v>176</v>
      </c>
      <c r="AE105" s="2" t="s">
        <v>37</v>
      </c>
    </row>
    <row r="106" customFormat="false" ht="15" hidden="false" customHeight="false" outlineLevel="0" collapsed="false">
      <c r="A106" s="2" t="s">
        <v>191</v>
      </c>
      <c r="B106" s="2" t="s">
        <v>192</v>
      </c>
      <c r="C106" s="3" t="n">
        <v>150</v>
      </c>
      <c r="D106" s="2" t="s">
        <v>63</v>
      </c>
      <c r="E106" s="2" t="s">
        <v>64</v>
      </c>
      <c r="F106" s="3" t="n">
        <v>100</v>
      </c>
      <c r="G106" s="2" t="s">
        <v>33</v>
      </c>
      <c r="H106" s="4" t="n">
        <v>2053.5</v>
      </c>
      <c r="I106" s="4" t="n">
        <v>2053.5</v>
      </c>
      <c r="J106" s="2"/>
      <c r="K106" s="5" t="n">
        <v>46192</v>
      </c>
      <c r="L106" s="3"/>
      <c r="M106" s="3"/>
      <c r="N106" s="3" t="n">
        <v>2</v>
      </c>
      <c r="O106" s="3" t="n">
        <v>149</v>
      </c>
      <c r="P106" s="2" t="s">
        <v>82</v>
      </c>
      <c r="Q106" s="2" t="s">
        <v>83</v>
      </c>
      <c r="R106" s="2" t="s">
        <v>84</v>
      </c>
      <c r="S106" s="5" t="n">
        <v>46192</v>
      </c>
      <c r="T106" s="2" t="s">
        <v>51</v>
      </c>
      <c r="U106" s="5" t="n">
        <v>46192</v>
      </c>
      <c r="V106" s="2"/>
      <c r="W106" s="2"/>
      <c r="X106" s="2" t="s">
        <v>195</v>
      </c>
      <c r="Y106" s="2" t="s">
        <v>196</v>
      </c>
      <c r="Z106" s="2"/>
      <c r="AA106" s="2"/>
      <c r="AB106" s="3" t="n">
        <v>1442102</v>
      </c>
      <c r="AC106" s="2" t="s">
        <v>175</v>
      </c>
      <c r="AD106" s="2" t="s">
        <v>176</v>
      </c>
      <c r="AE106" s="2" t="s">
        <v>37</v>
      </c>
    </row>
    <row r="107" customFormat="false" ht="15" hidden="false" customHeight="false" outlineLevel="0" collapsed="false">
      <c r="A107" s="2" t="s">
        <v>191</v>
      </c>
      <c r="B107" s="2" t="s">
        <v>192</v>
      </c>
      <c r="C107" s="3" t="n">
        <v>150</v>
      </c>
      <c r="D107" s="2" t="s">
        <v>63</v>
      </c>
      <c r="E107" s="2" t="s">
        <v>64</v>
      </c>
      <c r="F107" s="3" t="n">
        <v>100</v>
      </c>
      <c r="G107" s="2" t="s">
        <v>33</v>
      </c>
      <c r="H107" s="4" t="n">
        <v>2053.5</v>
      </c>
      <c r="I107" s="4" t="n">
        <v>2053.5</v>
      </c>
      <c r="J107" s="2"/>
      <c r="K107" s="5" t="n">
        <v>46192</v>
      </c>
      <c r="L107" s="3"/>
      <c r="M107" s="3"/>
      <c r="N107" s="3" t="n">
        <v>1</v>
      </c>
      <c r="O107" s="3" t="n">
        <v>148</v>
      </c>
      <c r="P107" s="2"/>
      <c r="Q107" s="2" t="s">
        <v>197</v>
      </c>
      <c r="R107" s="2" t="s">
        <v>198</v>
      </c>
      <c r="S107" s="5" t="n">
        <v>46192</v>
      </c>
      <c r="T107" s="2" t="s">
        <v>51</v>
      </c>
      <c r="U107" s="5" t="n">
        <v>46192</v>
      </c>
      <c r="V107" s="2"/>
      <c r="W107" s="2" t="s">
        <v>70</v>
      </c>
      <c r="X107" s="2" t="s">
        <v>199</v>
      </c>
      <c r="Y107" s="2" t="s">
        <v>200</v>
      </c>
      <c r="Z107" s="2"/>
      <c r="AA107" s="2"/>
      <c r="AB107" s="3" t="n">
        <v>1442102</v>
      </c>
      <c r="AC107" s="2" t="s">
        <v>175</v>
      </c>
      <c r="AD107" s="2" t="s">
        <v>176</v>
      </c>
      <c r="AE107" s="2" t="s">
        <v>37</v>
      </c>
    </row>
    <row r="108" customFormat="false" ht="15" hidden="false" customHeight="false" outlineLevel="0" collapsed="false">
      <c r="A108" s="2" t="s">
        <v>191</v>
      </c>
      <c r="B108" s="2" t="s">
        <v>192</v>
      </c>
      <c r="C108" s="3" t="n">
        <v>150</v>
      </c>
      <c r="D108" s="2" t="s">
        <v>63</v>
      </c>
      <c r="E108" s="2" t="s">
        <v>64</v>
      </c>
      <c r="F108" s="3" t="n">
        <v>100</v>
      </c>
      <c r="G108" s="2" t="s">
        <v>33</v>
      </c>
      <c r="H108" s="4" t="n">
        <v>2053.5</v>
      </c>
      <c r="I108" s="4" t="n">
        <v>2053.5</v>
      </c>
      <c r="J108" s="2"/>
      <c r="K108" s="5" t="n">
        <v>46209</v>
      </c>
      <c r="L108" s="3"/>
      <c r="M108" s="3"/>
      <c r="N108" s="3" t="n">
        <v>1</v>
      </c>
      <c r="O108" s="3" t="n">
        <v>147</v>
      </c>
      <c r="P108" s="2" t="s">
        <v>85</v>
      </c>
      <c r="Q108" s="2" t="s">
        <v>86</v>
      </c>
      <c r="R108" s="2" t="s">
        <v>87</v>
      </c>
      <c r="S108" s="5" t="n">
        <v>46209</v>
      </c>
      <c r="T108" s="2" t="s">
        <v>51</v>
      </c>
      <c r="U108" s="5" t="n">
        <v>46212</v>
      </c>
      <c r="V108" s="2" t="s">
        <v>88</v>
      </c>
      <c r="W108" s="2" t="s">
        <v>201</v>
      </c>
      <c r="X108" s="2" t="s">
        <v>202</v>
      </c>
      <c r="Y108" s="2" t="s">
        <v>203</v>
      </c>
      <c r="Z108" s="2"/>
      <c r="AA108" s="2"/>
      <c r="AB108" s="3" t="n">
        <v>1442102</v>
      </c>
      <c r="AC108" s="2" t="s">
        <v>175</v>
      </c>
      <c r="AD108" s="2" t="s">
        <v>176</v>
      </c>
      <c r="AE108" s="2" t="s">
        <v>37</v>
      </c>
    </row>
    <row r="109" customFormat="false" ht="15" hidden="false" customHeight="false" outlineLevel="0" collapsed="false">
      <c r="A109" s="2" t="s">
        <v>204</v>
      </c>
      <c r="B109" s="2" t="s">
        <v>205</v>
      </c>
      <c r="C109" s="3" t="n">
        <v>44</v>
      </c>
      <c r="D109" s="2" t="s">
        <v>63</v>
      </c>
      <c r="E109" s="2" t="s">
        <v>64</v>
      </c>
      <c r="F109" s="3" t="n">
        <v>100</v>
      </c>
      <c r="G109" s="2" t="s">
        <v>33</v>
      </c>
      <c r="H109" s="4" t="n">
        <v>1887</v>
      </c>
      <c r="I109" s="4" t="n">
        <v>1887</v>
      </c>
      <c r="J109" s="5" t="n">
        <v>46185</v>
      </c>
      <c r="K109" s="2"/>
      <c r="L109" s="3" t="n">
        <v>44</v>
      </c>
      <c r="M109" s="3"/>
      <c r="N109" s="3"/>
      <c r="O109" s="3" t="n">
        <v>44</v>
      </c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3" t="n">
        <v>1442102</v>
      </c>
      <c r="AC109" s="2" t="s">
        <v>175</v>
      </c>
      <c r="AD109" s="2" t="s">
        <v>176</v>
      </c>
      <c r="AE109" s="2" t="s">
        <v>37</v>
      </c>
    </row>
    <row r="110" customFormat="false" ht="15" hidden="false" customHeight="false" outlineLevel="0" collapsed="false">
      <c r="A110" s="2" t="s">
        <v>204</v>
      </c>
      <c r="B110" s="2" t="s">
        <v>205</v>
      </c>
      <c r="C110" s="3" t="n">
        <v>44</v>
      </c>
      <c r="D110" s="2" t="s">
        <v>63</v>
      </c>
      <c r="E110" s="2" t="s">
        <v>64</v>
      </c>
      <c r="F110" s="3" t="n">
        <v>100</v>
      </c>
      <c r="G110" s="2" t="s">
        <v>33</v>
      </c>
      <c r="H110" s="4" t="n">
        <v>1887</v>
      </c>
      <c r="I110" s="4" t="n">
        <v>1887</v>
      </c>
      <c r="J110" s="2"/>
      <c r="K110" s="5" t="n">
        <v>46192</v>
      </c>
      <c r="L110" s="3"/>
      <c r="M110" s="3"/>
      <c r="N110" s="3" t="n">
        <v>1</v>
      </c>
      <c r="O110" s="3" t="n">
        <v>43</v>
      </c>
      <c r="P110" s="2"/>
      <c r="Q110" s="2" t="s">
        <v>68</v>
      </c>
      <c r="R110" s="2" t="s">
        <v>69</v>
      </c>
      <c r="S110" s="5" t="n">
        <v>46192</v>
      </c>
      <c r="T110" s="2" t="s">
        <v>51</v>
      </c>
      <c r="U110" s="5" t="n">
        <v>46192</v>
      </c>
      <c r="V110" s="2"/>
      <c r="W110" s="2" t="s">
        <v>70</v>
      </c>
      <c r="X110" s="2"/>
      <c r="Y110" s="2"/>
      <c r="Z110" s="2"/>
      <c r="AA110" s="2"/>
      <c r="AB110" s="3" t="n">
        <v>1442102</v>
      </c>
      <c r="AC110" s="2" t="s">
        <v>175</v>
      </c>
      <c r="AD110" s="2" t="s">
        <v>176</v>
      </c>
      <c r="AE110" s="2" t="s">
        <v>37</v>
      </c>
    </row>
    <row r="111" customFormat="false" ht="15" hidden="false" customHeight="false" outlineLevel="0" collapsed="false">
      <c r="A111" s="2" t="s">
        <v>206</v>
      </c>
      <c r="B111" s="2" t="s">
        <v>207</v>
      </c>
      <c r="C111" s="3" t="n">
        <v>88</v>
      </c>
      <c r="D111" s="2" t="s">
        <v>63</v>
      </c>
      <c r="E111" s="2" t="s">
        <v>64</v>
      </c>
      <c r="F111" s="3" t="n">
        <v>100</v>
      </c>
      <c r="G111" s="2" t="s">
        <v>33</v>
      </c>
      <c r="H111" s="4" t="n">
        <v>1887</v>
      </c>
      <c r="I111" s="4" t="n">
        <v>1887</v>
      </c>
      <c r="J111" s="5" t="n">
        <v>46185</v>
      </c>
      <c r="K111" s="2"/>
      <c r="L111" s="3" t="n">
        <v>88</v>
      </c>
      <c r="M111" s="3"/>
      <c r="N111" s="3"/>
      <c r="O111" s="3" t="n">
        <v>88</v>
      </c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3" t="n">
        <v>1442102</v>
      </c>
      <c r="AC111" s="2" t="s">
        <v>175</v>
      </c>
      <c r="AD111" s="2" t="s">
        <v>176</v>
      </c>
      <c r="AE111" s="2" t="s">
        <v>37</v>
      </c>
    </row>
    <row r="112" customFormat="false" ht="15" hidden="false" customHeight="false" outlineLevel="0" collapsed="false">
      <c r="A112" s="2" t="s">
        <v>206</v>
      </c>
      <c r="B112" s="2" t="s">
        <v>207</v>
      </c>
      <c r="C112" s="3" t="n">
        <v>88</v>
      </c>
      <c r="D112" s="2" t="s">
        <v>63</v>
      </c>
      <c r="E112" s="2" t="s">
        <v>64</v>
      </c>
      <c r="F112" s="3" t="n">
        <v>100</v>
      </c>
      <c r="G112" s="2" t="s">
        <v>33</v>
      </c>
      <c r="H112" s="4" t="n">
        <v>1887</v>
      </c>
      <c r="I112" s="4" t="n">
        <v>1887</v>
      </c>
      <c r="J112" s="2"/>
      <c r="K112" s="5" t="n">
        <v>46192</v>
      </c>
      <c r="L112" s="3"/>
      <c r="M112" s="3"/>
      <c r="N112" s="3" t="n">
        <v>1</v>
      </c>
      <c r="O112" s="3" t="n">
        <v>87</v>
      </c>
      <c r="P112" s="2"/>
      <c r="Q112" s="2" t="s">
        <v>68</v>
      </c>
      <c r="R112" s="2" t="s">
        <v>69</v>
      </c>
      <c r="S112" s="5" t="n">
        <v>46192</v>
      </c>
      <c r="T112" s="2" t="s">
        <v>51</v>
      </c>
      <c r="U112" s="5" t="n">
        <v>46192</v>
      </c>
      <c r="V112" s="2"/>
      <c r="W112" s="2" t="s">
        <v>70</v>
      </c>
      <c r="X112" s="2"/>
      <c r="Y112" s="2"/>
      <c r="Z112" s="2"/>
      <c r="AA112" s="2"/>
      <c r="AB112" s="3" t="n">
        <v>1442102</v>
      </c>
      <c r="AC112" s="2" t="s">
        <v>175</v>
      </c>
      <c r="AD112" s="2" t="s">
        <v>176</v>
      </c>
      <c r="AE112" s="2" t="s">
        <v>37</v>
      </c>
    </row>
    <row r="113" customFormat="false" ht="15" hidden="false" customHeight="false" outlineLevel="0" collapsed="false">
      <c r="A113" s="2" t="s">
        <v>208</v>
      </c>
      <c r="B113" s="2" t="s">
        <v>209</v>
      </c>
      <c r="C113" s="3" t="n">
        <v>108</v>
      </c>
      <c r="D113" s="2" t="s">
        <v>63</v>
      </c>
      <c r="E113" s="2" t="s">
        <v>64</v>
      </c>
      <c r="F113" s="3" t="n">
        <v>250</v>
      </c>
      <c r="G113" s="2" t="s">
        <v>65</v>
      </c>
      <c r="H113" s="4" t="n">
        <v>299.7</v>
      </c>
      <c r="I113" s="4" t="n">
        <v>299.7</v>
      </c>
      <c r="J113" s="5" t="n">
        <v>46185</v>
      </c>
      <c r="K113" s="2"/>
      <c r="L113" s="3" t="n">
        <v>108</v>
      </c>
      <c r="M113" s="3"/>
      <c r="N113" s="3"/>
      <c r="O113" s="3" t="n">
        <v>108</v>
      </c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3" t="n">
        <v>1442301</v>
      </c>
      <c r="AC113" s="2" t="s">
        <v>66</v>
      </c>
      <c r="AD113" s="2" t="s">
        <v>67</v>
      </c>
      <c r="AE113" s="2" t="s">
        <v>37</v>
      </c>
    </row>
    <row r="114" customFormat="false" ht="15" hidden="false" customHeight="false" outlineLevel="0" collapsed="false">
      <c r="A114" s="2" t="s">
        <v>208</v>
      </c>
      <c r="B114" s="2" t="s">
        <v>209</v>
      </c>
      <c r="C114" s="3" t="n">
        <v>108</v>
      </c>
      <c r="D114" s="2" t="s">
        <v>63</v>
      </c>
      <c r="E114" s="2" t="s">
        <v>64</v>
      </c>
      <c r="F114" s="3" t="n">
        <v>250</v>
      </c>
      <c r="G114" s="2" t="s">
        <v>65</v>
      </c>
      <c r="H114" s="4" t="n">
        <v>299.7</v>
      </c>
      <c r="I114" s="4" t="n">
        <v>299.7</v>
      </c>
      <c r="J114" s="2"/>
      <c r="K114" s="5" t="n">
        <v>46192</v>
      </c>
      <c r="L114" s="3"/>
      <c r="M114" s="3"/>
      <c r="N114" s="3" t="n">
        <v>1</v>
      </c>
      <c r="O114" s="3" t="n">
        <v>107</v>
      </c>
      <c r="P114" s="2"/>
      <c r="Q114" s="2" t="s">
        <v>68</v>
      </c>
      <c r="R114" s="2" t="s">
        <v>69</v>
      </c>
      <c r="S114" s="5" t="n">
        <v>46192</v>
      </c>
      <c r="T114" s="2" t="s">
        <v>51</v>
      </c>
      <c r="U114" s="5" t="n">
        <v>46192</v>
      </c>
      <c r="V114" s="2"/>
      <c r="W114" s="2" t="s">
        <v>70</v>
      </c>
      <c r="X114" s="2"/>
      <c r="Y114" s="2"/>
      <c r="Z114" s="2"/>
      <c r="AA114" s="2"/>
      <c r="AB114" s="3" t="n">
        <v>1442301</v>
      </c>
      <c r="AC114" s="2" t="s">
        <v>66</v>
      </c>
      <c r="AD114" s="2" t="s">
        <v>67</v>
      </c>
      <c r="AE114" s="2" t="s">
        <v>37</v>
      </c>
    </row>
    <row r="115" customFormat="false" ht="15" hidden="false" customHeight="false" outlineLevel="0" collapsed="false">
      <c r="A115" s="2" t="s">
        <v>210</v>
      </c>
      <c r="B115" s="2" t="s">
        <v>211</v>
      </c>
      <c r="C115" s="3" t="n">
        <v>51</v>
      </c>
      <c r="D115" s="2" t="s">
        <v>63</v>
      </c>
      <c r="E115" s="2" t="s">
        <v>64</v>
      </c>
      <c r="F115" s="3" t="n">
        <v>1000</v>
      </c>
      <c r="G115" s="2" t="s">
        <v>73</v>
      </c>
      <c r="H115" s="4" t="n">
        <v>30.8</v>
      </c>
      <c r="I115" s="4" t="n">
        <v>30800</v>
      </c>
      <c r="J115" s="5" t="n">
        <v>46185</v>
      </c>
      <c r="K115" s="2"/>
      <c r="L115" s="3" t="n">
        <v>51</v>
      </c>
      <c r="M115" s="3"/>
      <c r="N115" s="3"/>
      <c r="O115" s="3" t="n">
        <v>51</v>
      </c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3" t="n">
        <v>1442301</v>
      </c>
      <c r="AC115" s="2" t="s">
        <v>66</v>
      </c>
      <c r="AD115" s="2" t="s">
        <v>67</v>
      </c>
      <c r="AE115" s="2" t="s">
        <v>37</v>
      </c>
    </row>
    <row r="116" customFormat="false" ht="15" hidden="false" customHeight="false" outlineLevel="0" collapsed="false">
      <c r="A116" s="2" t="s">
        <v>210</v>
      </c>
      <c r="B116" s="2" t="s">
        <v>211</v>
      </c>
      <c r="C116" s="3" t="n">
        <v>51</v>
      </c>
      <c r="D116" s="2" t="s">
        <v>63</v>
      </c>
      <c r="E116" s="2" t="s">
        <v>64</v>
      </c>
      <c r="F116" s="3" t="n">
        <v>1000</v>
      </c>
      <c r="G116" s="2" t="s">
        <v>73</v>
      </c>
      <c r="H116" s="4" t="n">
        <v>30.8</v>
      </c>
      <c r="I116" s="4" t="n">
        <v>30800</v>
      </c>
      <c r="J116" s="2"/>
      <c r="K116" s="5" t="n">
        <v>46192</v>
      </c>
      <c r="L116" s="3"/>
      <c r="M116" s="3"/>
      <c r="N116" s="3" t="n">
        <v>1</v>
      </c>
      <c r="O116" s="3" t="n">
        <v>50</v>
      </c>
      <c r="P116" s="2"/>
      <c r="Q116" s="2" t="s">
        <v>68</v>
      </c>
      <c r="R116" s="2" t="s">
        <v>69</v>
      </c>
      <c r="S116" s="5" t="n">
        <v>46192</v>
      </c>
      <c r="T116" s="2" t="s">
        <v>51</v>
      </c>
      <c r="U116" s="5" t="n">
        <v>46192</v>
      </c>
      <c r="V116" s="2"/>
      <c r="W116" s="2" t="s">
        <v>70</v>
      </c>
      <c r="X116" s="2"/>
      <c r="Y116" s="2"/>
      <c r="Z116" s="2"/>
      <c r="AA116" s="2"/>
      <c r="AB116" s="3" t="n">
        <v>1442301</v>
      </c>
      <c r="AC116" s="2" t="s">
        <v>66</v>
      </c>
      <c r="AD116" s="2" t="s">
        <v>67</v>
      </c>
      <c r="AE116" s="2" t="s">
        <v>37</v>
      </c>
    </row>
    <row r="117" customFormat="false" ht="15" hidden="false" customHeight="false" outlineLevel="0" collapsed="false">
      <c r="A117" s="2" t="s">
        <v>212</v>
      </c>
      <c r="B117" s="2" t="s">
        <v>213</v>
      </c>
      <c r="C117" s="3" t="n">
        <v>38</v>
      </c>
      <c r="D117" s="2" t="s">
        <v>63</v>
      </c>
      <c r="E117" s="2" t="s">
        <v>64</v>
      </c>
      <c r="F117" s="3" t="n">
        <v>1000</v>
      </c>
      <c r="G117" s="2" t="s">
        <v>73</v>
      </c>
      <c r="H117" s="4" t="n">
        <v>30.8</v>
      </c>
      <c r="I117" s="4" t="n">
        <v>30800</v>
      </c>
      <c r="J117" s="5" t="n">
        <v>46185</v>
      </c>
      <c r="K117" s="2"/>
      <c r="L117" s="3" t="n">
        <v>38</v>
      </c>
      <c r="M117" s="3"/>
      <c r="N117" s="3"/>
      <c r="O117" s="3" t="n">
        <v>38</v>
      </c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3" t="n">
        <v>1442301</v>
      </c>
      <c r="AC117" s="2" t="s">
        <v>66</v>
      </c>
      <c r="AD117" s="2" t="s">
        <v>67</v>
      </c>
      <c r="AE117" s="2" t="s">
        <v>37</v>
      </c>
    </row>
    <row r="118" customFormat="false" ht="15" hidden="false" customHeight="false" outlineLevel="0" collapsed="false">
      <c r="A118" s="2" t="s">
        <v>212</v>
      </c>
      <c r="B118" s="2" t="s">
        <v>213</v>
      </c>
      <c r="C118" s="3" t="n">
        <v>38</v>
      </c>
      <c r="D118" s="2" t="s">
        <v>63</v>
      </c>
      <c r="E118" s="2" t="s">
        <v>64</v>
      </c>
      <c r="F118" s="3" t="n">
        <v>1000</v>
      </c>
      <c r="G118" s="2" t="s">
        <v>73</v>
      </c>
      <c r="H118" s="4" t="n">
        <v>30.8</v>
      </c>
      <c r="I118" s="4" t="n">
        <v>30800</v>
      </c>
      <c r="J118" s="2"/>
      <c r="K118" s="5" t="n">
        <v>46192</v>
      </c>
      <c r="L118" s="3"/>
      <c r="M118" s="3"/>
      <c r="N118" s="3" t="n">
        <v>1</v>
      </c>
      <c r="O118" s="3" t="n">
        <v>37</v>
      </c>
      <c r="P118" s="2"/>
      <c r="Q118" s="2" t="s">
        <v>68</v>
      </c>
      <c r="R118" s="2" t="s">
        <v>69</v>
      </c>
      <c r="S118" s="5" t="n">
        <v>46192</v>
      </c>
      <c r="T118" s="2" t="s">
        <v>51</v>
      </c>
      <c r="U118" s="5" t="n">
        <v>46192</v>
      </c>
      <c r="V118" s="2"/>
      <c r="W118" s="2" t="s">
        <v>70</v>
      </c>
      <c r="X118" s="2"/>
      <c r="Y118" s="2"/>
      <c r="Z118" s="2"/>
      <c r="AA118" s="2"/>
      <c r="AB118" s="3" t="n">
        <v>1442301</v>
      </c>
      <c r="AC118" s="2" t="s">
        <v>66</v>
      </c>
      <c r="AD118" s="2" t="s">
        <v>67</v>
      </c>
      <c r="AE118" s="2" t="s">
        <v>37</v>
      </c>
    </row>
    <row r="119" customFormat="false" ht="15" hidden="false" customHeight="false" outlineLevel="0" collapsed="false">
      <c r="A119" s="2" t="s">
        <v>214</v>
      </c>
      <c r="B119" s="2" t="s">
        <v>215</v>
      </c>
      <c r="C119" s="3" t="n">
        <v>22</v>
      </c>
      <c r="D119" s="2" t="s">
        <v>63</v>
      </c>
      <c r="E119" s="2" t="s">
        <v>64</v>
      </c>
      <c r="F119" s="3" t="n">
        <v>1000</v>
      </c>
      <c r="G119" s="2" t="s">
        <v>73</v>
      </c>
      <c r="H119" s="4" t="n">
        <v>30.8</v>
      </c>
      <c r="I119" s="4" t="n">
        <v>30800</v>
      </c>
      <c r="J119" s="5" t="n">
        <v>46185</v>
      </c>
      <c r="K119" s="2"/>
      <c r="L119" s="3" t="n">
        <v>22</v>
      </c>
      <c r="M119" s="3"/>
      <c r="N119" s="3"/>
      <c r="O119" s="3" t="n">
        <v>22</v>
      </c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3" t="n">
        <v>1442301</v>
      </c>
      <c r="AC119" s="2" t="s">
        <v>66</v>
      </c>
      <c r="AD119" s="2" t="s">
        <v>67</v>
      </c>
      <c r="AE119" s="2" t="s">
        <v>37</v>
      </c>
    </row>
    <row r="120" customFormat="false" ht="15" hidden="false" customHeight="false" outlineLevel="0" collapsed="false">
      <c r="A120" s="2" t="s">
        <v>214</v>
      </c>
      <c r="B120" s="2" t="s">
        <v>215</v>
      </c>
      <c r="C120" s="3" t="n">
        <v>22</v>
      </c>
      <c r="D120" s="2" t="s">
        <v>63</v>
      </c>
      <c r="E120" s="2" t="s">
        <v>64</v>
      </c>
      <c r="F120" s="3" t="n">
        <v>1000</v>
      </c>
      <c r="G120" s="2" t="s">
        <v>73</v>
      </c>
      <c r="H120" s="4" t="n">
        <v>30.8</v>
      </c>
      <c r="I120" s="4" t="n">
        <v>30800</v>
      </c>
      <c r="J120" s="2"/>
      <c r="K120" s="5" t="n">
        <v>46192</v>
      </c>
      <c r="L120" s="3"/>
      <c r="M120" s="3"/>
      <c r="N120" s="3" t="n">
        <v>1</v>
      </c>
      <c r="O120" s="3" t="n">
        <v>21</v>
      </c>
      <c r="P120" s="2"/>
      <c r="Q120" s="2" t="s">
        <v>68</v>
      </c>
      <c r="R120" s="2" t="s">
        <v>69</v>
      </c>
      <c r="S120" s="5" t="n">
        <v>46192</v>
      </c>
      <c r="T120" s="2" t="s">
        <v>51</v>
      </c>
      <c r="U120" s="5" t="n">
        <v>46192</v>
      </c>
      <c r="V120" s="2"/>
      <c r="W120" s="2" t="s">
        <v>70</v>
      </c>
      <c r="X120" s="2"/>
      <c r="Y120" s="2"/>
      <c r="Z120" s="2"/>
      <c r="AA120" s="2"/>
      <c r="AB120" s="3" t="n">
        <v>1442301</v>
      </c>
      <c r="AC120" s="2" t="s">
        <v>66</v>
      </c>
      <c r="AD120" s="2" t="s">
        <v>67</v>
      </c>
      <c r="AE120" s="2" t="s">
        <v>37</v>
      </c>
    </row>
    <row r="121" customFormat="false" ht="15" hidden="false" customHeight="false" outlineLevel="0" collapsed="false">
      <c r="A121" s="2" t="s">
        <v>216</v>
      </c>
      <c r="B121" s="2" t="s">
        <v>217</v>
      </c>
      <c r="C121" s="3" t="n">
        <v>38</v>
      </c>
      <c r="D121" s="2" t="s">
        <v>63</v>
      </c>
      <c r="E121" s="2" t="s">
        <v>64</v>
      </c>
      <c r="F121" s="3" t="n">
        <v>1000</v>
      </c>
      <c r="G121" s="2" t="s">
        <v>73</v>
      </c>
      <c r="H121" s="4" t="n">
        <v>30.8</v>
      </c>
      <c r="I121" s="4" t="n">
        <v>30800</v>
      </c>
      <c r="J121" s="5" t="n">
        <v>46185</v>
      </c>
      <c r="K121" s="2"/>
      <c r="L121" s="3" t="n">
        <v>38</v>
      </c>
      <c r="M121" s="3"/>
      <c r="N121" s="3"/>
      <c r="O121" s="3" t="n">
        <v>38</v>
      </c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3" t="n">
        <v>1442301</v>
      </c>
      <c r="AC121" s="2" t="s">
        <v>66</v>
      </c>
      <c r="AD121" s="2" t="s">
        <v>67</v>
      </c>
      <c r="AE121" s="2" t="s">
        <v>37</v>
      </c>
    </row>
    <row r="122" customFormat="false" ht="15" hidden="false" customHeight="false" outlineLevel="0" collapsed="false">
      <c r="A122" s="2" t="s">
        <v>216</v>
      </c>
      <c r="B122" s="2" t="s">
        <v>217</v>
      </c>
      <c r="C122" s="3" t="n">
        <v>38</v>
      </c>
      <c r="D122" s="2" t="s">
        <v>63</v>
      </c>
      <c r="E122" s="2" t="s">
        <v>64</v>
      </c>
      <c r="F122" s="3" t="n">
        <v>1000</v>
      </c>
      <c r="G122" s="2" t="s">
        <v>73</v>
      </c>
      <c r="H122" s="4" t="n">
        <v>30.8</v>
      </c>
      <c r="I122" s="4" t="n">
        <v>30800</v>
      </c>
      <c r="J122" s="2"/>
      <c r="K122" s="5" t="n">
        <v>46192</v>
      </c>
      <c r="L122" s="3"/>
      <c r="M122" s="3"/>
      <c r="N122" s="3" t="n">
        <v>1</v>
      </c>
      <c r="O122" s="3" t="n">
        <v>37</v>
      </c>
      <c r="P122" s="2"/>
      <c r="Q122" s="2" t="s">
        <v>68</v>
      </c>
      <c r="R122" s="2" t="s">
        <v>69</v>
      </c>
      <c r="S122" s="5" t="n">
        <v>46192</v>
      </c>
      <c r="T122" s="2" t="s">
        <v>51</v>
      </c>
      <c r="U122" s="5" t="n">
        <v>46192</v>
      </c>
      <c r="V122" s="2"/>
      <c r="W122" s="2" t="s">
        <v>70</v>
      </c>
      <c r="X122" s="2"/>
      <c r="Y122" s="2"/>
      <c r="Z122" s="2"/>
      <c r="AA122" s="2"/>
      <c r="AB122" s="3" t="n">
        <v>1442301</v>
      </c>
      <c r="AC122" s="2" t="s">
        <v>66</v>
      </c>
      <c r="AD122" s="2" t="s">
        <v>67</v>
      </c>
      <c r="AE122" s="2" t="s">
        <v>37</v>
      </c>
    </row>
    <row r="123" customFormat="false" ht="15" hidden="false" customHeight="false" outlineLevel="0" collapsed="false">
      <c r="A123" s="2" t="s">
        <v>218</v>
      </c>
      <c r="B123" s="2" t="s">
        <v>219</v>
      </c>
      <c r="C123" s="3" t="n">
        <v>23</v>
      </c>
      <c r="D123" s="2" t="s">
        <v>63</v>
      </c>
      <c r="E123" s="2" t="s">
        <v>64</v>
      </c>
      <c r="F123" s="3" t="n">
        <v>1000</v>
      </c>
      <c r="G123" s="2" t="s">
        <v>73</v>
      </c>
      <c r="H123" s="4" t="n">
        <v>33.3</v>
      </c>
      <c r="I123" s="4" t="n">
        <v>30800</v>
      </c>
      <c r="J123" s="5" t="n">
        <v>46185</v>
      </c>
      <c r="K123" s="2"/>
      <c r="L123" s="3" t="n">
        <v>23</v>
      </c>
      <c r="M123" s="3"/>
      <c r="N123" s="3"/>
      <c r="O123" s="3" t="n">
        <v>23</v>
      </c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3" t="n">
        <v>1442301</v>
      </c>
      <c r="AC123" s="2" t="s">
        <v>66</v>
      </c>
      <c r="AD123" s="2" t="s">
        <v>67</v>
      </c>
      <c r="AE123" s="2" t="s">
        <v>37</v>
      </c>
    </row>
    <row r="124" customFormat="false" ht="15" hidden="false" customHeight="false" outlineLevel="0" collapsed="false">
      <c r="A124" s="2" t="s">
        <v>218</v>
      </c>
      <c r="B124" s="2" t="s">
        <v>219</v>
      </c>
      <c r="C124" s="3" t="n">
        <v>23</v>
      </c>
      <c r="D124" s="2" t="s">
        <v>63</v>
      </c>
      <c r="E124" s="2" t="s">
        <v>64</v>
      </c>
      <c r="F124" s="3" t="n">
        <v>1000</v>
      </c>
      <c r="G124" s="2" t="s">
        <v>73</v>
      </c>
      <c r="H124" s="4" t="n">
        <v>33.3</v>
      </c>
      <c r="I124" s="4" t="n">
        <v>30800</v>
      </c>
      <c r="J124" s="2"/>
      <c r="K124" s="5" t="n">
        <v>46192</v>
      </c>
      <c r="L124" s="3"/>
      <c r="M124" s="3"/>
      <c r="N124" s="3" t="n">
        <v>1</v>
      </c>
      <c r="O124" s="3" t="n">
        <v>22</v>
      </c>
      <c r="P124" s="2"/>
      <c r="Q124" s="2" t="s">
        <v>68</v>
      </c>
      <c r="R124" s="2" t="s">
        <v>69</v>
      </c>
      <c r="S124" s="5" t="n">
        <v>46192</v>
      </c>
      <c r="T124" s="2" t="s">
        <v>51</v>
      </c>
      <c r="U124" s="5" t="n">
        <v>46192</v>
      </c>
      <c r="V124" s="2"/>
      <c r="W124" s="2" t="s">
        <v>70</v>
      </c>
      <c r="X124" s="2"/>
      <c r="Y124" s="2"/>
      <c r="Z124" s="2"/>
      <c r="AA124" s="2"/>
      <c r="AB124" s="3" t="n">
        <v>1442301</v>
      </c>
      <c r="AC124" s="2" t="s">
        <v>66</v>
      </c>
      <c r="AD124" s="2" t="s">
        <v>67</v>
      </c>
      <c r="AE124" s="2" t="s">
        <v>37</v>
      </c>
    </row>
    <row r="125" customFormat="false" ht="15" hidden="false" customHeight="false" outlineLevel="0" collapsed="false">
      <c r="A125" s="2" t="s">
        <v>218</v>
      </c>
      <c r="B125" s="2" t="s">
        <v>219</v>
      </c>
      <c r="C125" s="3" t="n">
        <v>23</v>
      </c>
      <c r="D125" s="2" t="s">
        <v>63</v>
      </c>
      <c r="E125" s="2" t="s">
        <v>64</v>
      </c>
      <c r="F125" s="3" t="n">
        <v>1000</v>
      </c>
      <c r="G125" s="2" t="s">
        <v>73</v>
      </c>
      <c r="H125" s="4" t="n">
        <v>33.3</v>
      </c>
      <c r="I125" s="4" t="n">
        <v>30800</v>
      </c>
      <c r="J125" s="2"/>
      <c r="K125" s="5" t="n">
        <v>46195</v>
      </c>
      <c r="L125" s="3"/>
      <c r="M125" s="3"/>
      <c r="N125" s="3" t="n">
        <v>16</v>
      </c>
      <c r="O125" s="3" t="n">
        <v>6</v>
      </c>
      <c r="P125" s="2" t="s">
        <v>220</v>
      </c>
      <c r="Q125" s="2" t="s">
        <v>221</v>
      </c>
      <c r="R125" s="2" t="s">
        <v>222</v>
      </c>
      <c r="S125" s="5" t="n">
        <v>46195</v>
      </c>
      <c r="T125" s="2" t="s">
        <v>51</v>
      </c>
      <c r="U125" s="2"/>
      <c r="V125" s="2"/>
      <c r="W125" s="2"/>
      <c r="X125" s="2"/>
      <c r="Y125" s="2"/>
      <c r="Z125" s="2"/>
      <c r="AA125" s="2"/>
      <c r="AB125" s="3" t="n">
        <v>1442301</v>
      </c>
      <c r="AC125" s="2" t="s">
        <v>66</v>
      </c>
      <c r="AD125" s="2" t="s">
        <v>67</v>
      </c>
      <c r="AE125" s="2" t="s">
        <v>37</v>
      </c>
    </row>
    <row r="126" customFormat="false" ht="15" hidden="false" customHeight="false" outlineLevel="0" collapsed="false">
      <c r="A126" s="2" t="s">
        <v>218</v>
      </c>
      <c r="B126" s="2" t="s">
        <v>219</v>
      </c>
      <c r="C126" s="3" t="n">
        <v>23</v>
      </c>
      <c r="D126" s="2" t="s">
        <v>63</v>
      </c>
      <c r="E126" s="2" t="s">
        <v>64</v>
      </c>
      <c r="F126" s="3" t="n">
        <v>1000</v>
      </c>
      <c r="G126" s="2" t="s">
        <v>73</v>
      </c>
      <c r="H126" s="4" t="n">
        <v>33.3</v>
      </c>
      <c r="I126" s="4" t="n">
        <v>30800</v>
      </c>
      <c r="J126" s="5" t="n">
        <v>46212</v>
      </c>
      <c r="K126" s="2"/>
      <c r="L126" s="3"/>
      <c r="M126" s="3" t="n">
        <v>309</v>
      </c>
      <c r="N126" s="3"/>
      <c r="O126" s="3" t="n">
        <v>315</v>
      </c>
      <c r="P126" s="2" t="s">
        <v>223</v>
      </c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3" t="n">
        <v>1442301</v>
      </c>
      <c r="AC126" s="2" t="s">
        <v>66</v>
      </c>
      <c r="AD126" s="2" t="s">
        <v>67</v>
      </c>
      <c r="AE126" s="2" t="s">
        <v>37</v>
      </c>
    </row>
    <row r="127" customFormat="false" ht="15" hidden="false" customHeight="false" outlineLevel="0" collapsed="false">
      <c r="A127" s="2" t="s">
        <v>224</v>
      </c>
      <c r="B127" s="2" t="s">
        <v>225</v>
      </c>
      <c r="C127" s="3" t="n">
        <v>4</v>
      </c>
      <c r="D127" s="2" t="s">
        <v>63</v>
      </c>
      <c r="E127" s="2" t="s">
        <v>64</v>
      </c>
      <c r="F127" s="3" t="n">
        <v>1000</v>
      </c>
      <c r="G127" s="2" t="s">
        <v>73</v>
      </c>
      <c r="H127" s="4" t="n">
        <v>36.63</v>
      </c>
      <c r="I127" s="4" t="n">
        <v>30800</v>
      </c>
      <c r="J127" s="5" t="n">
        <v>46185</v>
      </c>
      <c r="K127" s="2"/>
      <c r="L127" s="3" t="n">
        <v>4</v>
      </c>
      <c r="M127" s="3"/>
      <c r="N127" s="3"/>
      <c r="O127" s="3" t="n">
        <v>4</v>
      </c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3" t="n">
        <v>1442301</v>
      </c>
      <c r="AC127" s="2" t="s">
        <v>66</v>
      </c>
      <c r="AD127" s="2" t="s">
        <v>67</v>
      </c>
      <c r="AE127" s="2" t="s">
        <v>37</v>
      </c>
    </row>
    <row r="128" customFormat="false" ht="15" hidden="false" customHeight="false" outlineLevel="0" collapsed="false">
      <c r="A128" s="2" t="s">
        <v>224</v>
      </c>
      <c r="B128" s="2" t="s">
        <v>225</v>
      </c>
      <c r="C128" s="3" t="n">
        <v>4</v>
      </c>
      <c r="D128" s="2" t="s">
        <v>63</v>
      </c>
      <c r="E128" s="2" t="s">
        <v>64</v>
      </c>
      <c r="F128" s="3" t="n">
        <v>1000</v>
      </c>
      <c r="G128" s="2" t="s">
        <v>73</v>
      </c>
      <c r="H128" s="4" t="n">
        <v>36.63</v>
      </c>
      <c r="I128" s="4" t="n">
        <v>30800</v>
      </c>
      <c r="J128" s="5" t="n">
        <v>46190</v>
      </c>
      <c r="K128" s="2"/>
      <c r="L128" s="3"/>
      <c r="M128" s="3" t="n">
        <v>120</v>
      </c>
      <c r="N128" s="3"/>
      <c r="O128" s="3" t="n">
        <v>124</v>
      </c>
      <c r="P128" s="2"/>
      <c r="Q128" s="2"/>
      <c r="R128" s="2"/>
      <c r="S128" s="2"/>
      <c r="T128" s="2" t="s">
        <v>51</v>
      </c>
      <c r="U128" s="5" t="n">
        <v>46190</v>
      </c>
      <c r="V128" s="2"/>
      <c r="W128" s="2"/>
      <c r="X128" s="2"/>
      <c r="Y128" s="2"/>
      <c r="Z128" s="2"/>
      <c r="AA128" s="2"/>
      <c r="AB128" s="3" t="n">
        <v>1442301</v>
      </c>
      <c r="AC128" s="2" t="s">
        <v>66</v>
      </c>
      <c r="AD128" s="2" t="s">
        <v>67</v>
      </c>
      <c r="AE128" s="2" t="s">
        <v>37</v>
      </c>
    </row>
    <row r="129" customFormat="false" ht="15" hidden="false" customHeight="false" outlineLevel="0" collapsed="false">
      <c r="A129" s="2" t="s">
        <v>224</v>
      </c>
      <c r="B129" s="2" t="s">
        <v>225</v>
      </c>
      <c r="C129" s="3" t="n">
        <v>4</v>
      </c>
      <c r="D129" s="2" t="s">
        <v>63</v>
      </c>
      <c r="E129" s="2" t="s">
        <v>64</v>
      </c>
      <c r="F129" s="3" t="n">
        <v>1000</v>
      </c>
      <c r="G129" s="2" t="s">
        <v>73</v>
      </c>
      <c r="H129" s="4" t="n">
        <v>36.63</v>
      </c>
      <c r="I129" s="4" t="n">
        <v>30800</v>
      </c>
      <c r="J129" s="2"/>
      <c r="K129" s="5" t="n">
        <v>46192</v>
      </c>
      <c r="L129" s="3"/>
      <c r="M129" s="3"/>
      <c r="N129" s="3" t="n">
        <v>1</v>
      </c>
      <c r="O129" s="3" t="n">
        <v>123</v>
      </c>
      <c r="P129" s="2"/>
      <c r="Q129" s="2" t="s">
        <v>68</v>
      </c>
      <c r="R129" s="2" t="s">
        <v>69</v>
      </c>
      <c r="S129" s="5" t="n">
        <v>46192</v>
      </c>
      <c r="T129" s="2" t="s">
        <v>51</v>
      </c>
      <c r="U129" s="5" t="n">
        <v>46192</v>
      </c>
      <c r="V129" s="2"/>
      <c r="W129" s="2" t="s">
        <v>70</v>
      </c>
      <c r="X129" s="2"/>
      <c r="Y129" s="2"/>
      <c r="Z129" s="2"/>
      <c r="AA129" s="2"/>
      <c r="AB129" s="3" t="n">
        <v>1442301</v>
      </c>
      <c r="AC129" s="2" t="s">
        <v>66</v>
      </c>
      <c r="AD129" s="2" t="s">
        <v>67</v>
      </c>
      <c r="AE129" s="2" t="s">
        <v>37</v>
      </c>
    </row>
    <row r="130" customFormat="false" ht="15" hidden="false" customHeight="false" outlineLevel="0" collapsed="false">
      <c r="A130" s="2" t="s">
        <v>224</v>
      </c>
      <c r="B130" s="2" t="s">
        <v>225</v>
      </c>
      <c r="C130" s="3" t="n">
        <v>4</v>
      </c>
      <c r="D130" s="2" t="s">
        <v>63</v>
      </c>
      <c r="E130" s="2" t="s">
        <v>64</v>
      </c>
      <c r="F130" s="3" t="n">
        <v>1000</v>
      </c>
      <c r="G130" s="2" t="s">
        <v>73</v>
      </c>
      <c r="H130" s="4" t="n">
        <v>36.63</v>
      </c>
      <c r="I130" s="4" t="n">
        <v>30800</v>
      </c>
      <c r="J130" s="2"/>
      <c r="K130" s="5" t="n">
        <v>46195</v>
      </c>
      <c r="L130" s="3"/>
      <c r="M130" s="3"/>
      <c r="N130" s="3" t="n">
        <v>90</v>
      </c>
      <c r="O130" s="3" t="n">
        <v>33</v>
      </c>
      <c r="P130" s="2" t="s">
        <v>220</v>
      </c>
      <c r="Q130" s="2" t="s">
        <v>221</v>
      </c>
      <c r="R130" s="2" t="s">
        <v>222</v>
      </c>
      <c r="S130" s="5" t="n">
        <v>46195</v>
      </c>
      <c r="T130" s="2" t="s">
        <v>51</v>
      </c>
      <c r="U130" s="2"/>
      <c r="V130" s="2"/>
      <c r="W130" s="2"/>
      <c r="X130" s="2"/>
      <c r="Y130" s="2"/>
      <c r="Z130" s="2"/>
      <c r="AA130" s="2"/>
      <c r="AB130" s="3" t="n">
        <v>1442301</v>
      </c>
      <c r="AC130" s="2" t="s">
        <v>66</v>
      </c>
      <c r="AD130" s="2" t="s">
        <v>67</v>
      </c>
      <c r="AE130" s="2" t="s">
        <v>37</v>
      </c>
    </row>
    <row r="131" customFormat="false" ht="15" hidden="false" customHeight="false" outlineLevel="0" collapsed="false">
      <c r="A131" s="2" t="s">
        <v>224</v>
      </c>
      <c r="B131" s="2" t="s">
        <v>225</v>
      </c>
      <c r="C131" s="3" t="n">
        <v>4</v>
      </c>
      <c r="D131" s="2" t="s">
        <v>63</v>
      </c>
      <c r="E131" s="2" t="s">
        <v>64</v>
      </c>
      <c r="F131" s="3" t="n">
        <v>1000</v>
      </c>
      <c r="G131" s="2" t="s">
        <v>73</v>
      </c>
      <c r="H131" s="4" t="n">
        <v>36.63</v>
      </c>
      <c r="I131" s="4" t="n">
        <v>30800</v>
      </c>
      <c r="J131" s="5" t="n">
        <v>46212</v>
      </c>
      <c r="K131" s="2"/>
      <c r="L131" s="3"/>
      <c r="M131" s="3" t="n">
        <v>193</v>
      </c>
      <c r="N131" s="3"/>
      <c r="O131" s="3" t="n">
        <v>226</v>
      </c>
      <c r="P131" s="2" t="s">
        <v>223</v>
      </c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3" t="n">
        <v>1442301</v>
      </c>
      <c r="AC131" s="2" t="s">
        <v>66</v>
      </c>
      <c r="AD131" s="2" t="s">
        <v>67</v>
      </c>
      <c r="AE131" s="2" t="s">
        <v>37</v>
      </c>
    </row>
    <row r="132" customFormat="false" ht="15" hidden="false" customHeight="false" outlineLevel="0" collapsed="false">
      <c r="A132" s="2" t="s">
        <v>226</v>
      </c>
      <c r="B132" s="2" t="s">
        <v>227</v>
      </c>
      <c r="C132" s="3" t="n">
        <v>53</v>
      </c>
      <c r="D132" s="2" t="s">
        <v>63</v>
      </c>
      <c r="E132" s="2" t="s">
        <v>64</v>
      </c>
      <c r="F132" s="3" t="n">
        <v>1000</v>
      </c>
      <c r="G132" s="2" t="s">
        <v>73</v>
      </c>
      <c r="H132" s="4" t="n">
        <v>30.8</v>
      </c>
      <c r="I132" s="4" t="n">
        <v>30800</v>
      </c>
      <c r="J132" s="5" t="n">
        <v>46185</v>
      </c>
      <c r="K132" s="2"/>
      <c r="L132" s="3" t="n">
        <v>53</v>
      </c>
      <c r="M132" s="3"/>
      <c r="N132" s="3"/>
      <c r="O132" s="3" t="n">
        <v>53</v>
      </c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3" t="n">
        <v>1442301</v>
      </c>
      <c r="AC132" s="2" t="s">
        <v>66</v>
      </c>
      <c r="AD132" s="2" t="s">
        <v>67</v>
      </c>
      <c r="AE132" s="2" t="s">
        <v>37</v>
      </c>
    </row>
    <row r="133" customFormat="false" ht="15" hidden="false" customHeight="false" outlineLevel="0" collapsed="false">
      <c r="A133" s="2" t="s">
        <v>226</v>
      </c>
      <c r="B133" s="2" t="s">
        <v>227</v>
      </c>
      <c r="C133" s="3" t="n">
        <v>53</v>
      </c>
      <c r="D133" s="2" t="s">
        <v>63</v>
      </c>
      <c r="E133" s="2" t="s">
        <v>64</v>
      </c>
      <c r="F133" s="3" t="n">
        <v>1000</v>
      </c>
      <c r="G133" s="2" t="s">
        <v>73</v>
      </c>
      <c r="H133" s="4" t="n">
        <v>30.8</v>
      </c>
      <c r="I133" s="4" t="n">
        <v>30800</v>
      </c>
      <c r="J133" s="2"/>
      <c r="K133" s="5" t="n">
        <v>46192</v>
      </c>
      <c r="L133" s="3"/>
      <c r="M133" s="3"/>
      <c r="N133" s="3" t="n">
        <v>1</v>
      </c>
      <c r="O133" s="3" t="n">
        <v>52</v>
      </c>
      <c r="P133" s="2"/>
      <c r="Q133" s="2" t="s">
        <v>68</v>
      </c>
      <c r="R133" s="2" t="s">
        <v>69</v>
      </c>
      <c r="S133" s="5" t="n">
        <v>46192</v>
      </c>
      <c r="T133" s="2" t="s">
        <v>51</v>
      </c>
      <c r="U133" s="5" t="n">
        <v>46192</v>
      </c>
      <c r="V133" s="2"/>
      <c r="W133" s="2" t="s">
        <v>70</v>
      </c>
      <c r="X133" s="2"/>
      <c r="Y133" s="2"/>
      <c r="Z133" s="2"/>
      <c r="AA133" s="2"/>
      <c r="AB133" s="3" t="n">
        <v>1442301</v>
      </c>
      <c r="AC133" s="2" t="s">
        <v>66</v>
      </c>
      <c r="AD133" s="2" t="s">
        <v>67</v>
      </c>
      <c r="AE133" s="2" t="s">
        <v>37</v>
      </c>
    </row>
    <row r="134" customFormat="false" ht="15" hidden="false" customHeight="false" outlineLevel="0" collapsed="false">
      <c r="A134" s="2" t="s">
        <v>228</v>
      </c>
      <c r="B134" s="2" t="s">
        <v>229</v>
      </c>
      <c r="C134" s="3" t="n">
        <v>66</v>
      </c>
      <c r="D134" s="2" t="s">
        <v>63</v>
      </c>
      <c r="E134" s="2" t="s">
        <v>64</v>
      </c>
      <c r="F134" s="3" t="n">
        <v>50</v>
      </c>
      <c r="G134" s="2" t="s">
        <v>65</v>
      </c>
      <c r="H134" s="4" t="n">
        <v>233.1</v>
      </c>
      <c r="I134" s="4" t="n">
        <v>233.1</v>
      </c>
      <c r="J134" s="5" t="n">
        <v>46185</v>
      </c>
      <c r="K134" s="2"/>
      <c r="L134" s="3" t="n">
        <v>66</v>
      </c>
      <c r="M134" s="3"/>
      <c r="N134" s="3"/>
      <c r="O134" s="3" t="n">
        <v>66</v>
      </c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3" t="n">
        <v>1442301</v>
      </c>
      <c r="AC134" s="2" t="s">
        <v>66</v>
      </c>
      <c r="AD134" s="2" t="s">
        <v>67</v>
      </c>
      <c r="AE134" s="2" t="s">
        <v>37</v>
      </c>
    </row>
    <row r="135" customFormat="false" ht="15" hidden="false" customHeight="false" outlineLevel="0" collapsed="false">
      <c r="A135" s="2" t="s">
        <v>228</v>
      </c>
      <c r="B135" s="2" t="s">
        <v>229</v>
      </c>
      <c r="C135" s="3" t="n">
        <v>66</v>
      </c>
      <c r="D135" s="2" t="s">
        <v>63</v>
      </c>
      <c r="E135" s="2" t="s">
        <v>64</v>
      </c>
      <c r="F135" s="3" t="n">
        <v>50</v>
      </c>
      <c r="G135" s="2" t="s">
        <v>65</v>
      </c>
      <c r="H135" s="4" t="n">
        <v>233.1</v>
      </c>
      <c r="I135" s="4" t="n">
        <v>233.1</v>
      </c>
      <c r="J135" s="2"/>
      <c r="K135" s="5" t="n">
        <v>46192</v>
      </c>
      <c r="L135" s="3"/>
      <c r="M135" s="3"/>
      <c r="N135" s="3" t="n">
        <v>3</v>
      </c>
      <c r="O135" s="3" t="n">
        <v>63</v>
      </c>
      <c r="P135" s="2" t="s">
        <v>82</v>
      </c>
      <c r="Q135" s="2" t="s">
        <v>83</v>
      </c>
      <c r="R135" s="2" t="s">
        <v>84</v>
      </c>
      <c r="S135" s="5" t="n">
        <v>46192</v>
      </c>
      <c r="T135" s="2" t="s">
        <v>51</v>
      </c>
      <c r="U135" s="5" t="n">
        <v>46192</v>
      </c>
      <c r="V135" s="2"/>
      <c r="W135" s="2"/>
      <c r="X135" s="2"/>
      <c r="Y135" s="2"/>
      <c r="Z135" s="2"/>
      <c r="AA135" s="2"/>
      <c r="AB135" s="3" t="n">
        <v>1442301</v>
      </c>
      <c r="AC135" s="2" t="s">
        <v>66</v>
      </c>
      <c r="AD135" s="2" t="s">
        <v>67</v>
      </c>
      <c r="AE135" s="2" t="s">
        <v>37</v>
      </c>
    </row>
    <row r="136" customFormat="false" ht="15" hidden="false" customHeight="false" outlineLevel="0" collapsed="false">
      <c r="A136" s="2" t="s">
        <v>228</v>
      </c>
      <c r="B136" s="2" t="s">
        <v>229</v>
      </c>
      <c r="C136" s="3" t="n">
        <v>66</v>
      </c>
      <c r="D136" s="2" t="s">
        <v>63</v>
      </c>
      <c r="E136" s="2" t="s">
        <v>64</v>
      </c>
      <c r="F136" s="3" t="n">
        <v>50</v>
      </c>
      <c r="G136" s="2" t="s">
        <v>65</v>
      </c>
      <c r="H136" s="4" t="n">
        <v>233.1</v>
      </c>
      <c r="I136" s="4" t="n">
        <v>233.1</v>
      </c>
      <c r="J136" s="2"/>
      <c r="K136" s="5" t="n">
        <v>46192</v>
      </c>
      <c r="L136" s="3"/>
      <c r="M136" s="3"/>
      <c r="N136" s="3" t="n">
        <v>2</v>
      </c>
      <c r="O136" s="3" t="n">
        <v>61</v>
      </c>
      <c r="P136" s="2"/>
      <c r="Q136" s="2" t="s">
        <v>68</v>
      </c>
      <c r="R136" s="2" t="s">
        <v>69</v>
      </c>
      <c r="S136" s="5" t="n">
        <v>46192</v>
      </c>
      <c r="T136" s="2" t="s">
        <v>51</v>
      </c>
      <c r="U136" s="5" t="n">
        <v>46192</v>
      </c>
      <c r="V136" s="2"/>
      <c r="W136" s="2" t="s">
        <v>70</v>
      </c>
      <c r="X136" s="2"/>
      <c r="Y136" s="2"/>
      <c r="Z136" s="2"/>
      <c r="AA136" s="2"/>
      <c r="AB136" s="3" t="n">
        <v>1442301</v>
      </c>
      <c r="AC136" s="2" t="s">
        <v>66</v>
      </c>
      <c r="AD136" s="2" t="s">
        <v>67</v>
      </c>
      <c r="AE136" s="2" t="s">
        <v>37</v>
      </c>
    </row>
    <row r="137" customFormat="false" ht="15" hidden="false" customHeight="false" outlineLevel="0" collapsed="false">
      <c r="A137" s="2" t="s">
        <v>228</v>
      </c>
      <c r="B137" s="2" t="s">
        <v>229</v>
      </c>
      <c r="C137" s="3" t="n">
        <v>66</v>
      </c>
      <c r="D137" s="2" t="s">
        <v>63</v>
      </c>
      <c r="E137" s="2" t="s">
        <v>64</v>
      </c>
      <c r="F137" s="3" t="n">
        <v>50</v>
      </c>
      <c r="G137" s="2" t="s">
        <v>65</v>
      </c>
      <c r="H137" s="4" t="n">
        <v>233.1</v>
      </c>
      <c r="I137" s="4" t="n">
        <v>233.1</v>
      </c>
      <c r="J137" s="2"/>
      <c r="K137" s="5" t="n">
        <v>46188</v>
      </c>
      <c r="L137" s="3"/>
      <c r="M137" s="3"/>
      <c r="N137" s="3" t="n">
        <v>1</v>
      </c>
      <c r="O137" s="3" t="n">
        <v>60</v>
      </c>
      <c r="P137" s="2" t="s">
        <v>108</v>
      </c>
      <c r="Q137" s="2" t="s">
        <v>109</v>
      </c>
      <c r="R137" s="2" t="s">
        <v>110</v>
      </c>
      <c r="S137" s="5" t="n">
        <v>46191</v>
      </c>
      <c r="T137" s="2" t="s">
        <v>55</v>
      </c>
      <c r="U137" s="5" t="n">
        <v>46193</v>
      </c>
      <c r="V137" s="2" t="s">
        <v>111</v>
      </c>
      <c r="W137" s="2" t="s">
        <v>112</v>
      </c>
      <c r="X137" s="2"/>
      <c r="Y137" s="2"/>
      <c r="Z137" s="2"/>
      <c r="AA137" s="2"/>
      <c r="AB137" s="3" t="n">
        <v>1442301</v>
      </c>
      <c r="AC137" s="2" t="s">
        <v>66</v>
      </c>
      <c r="AD137" s="2" t="s">
        <v>67</v>
      </c>
      <c r="AE137" s="2" t="s">
        <v>37</v>
      </c>
    </row>
    <row r="138" customFormat="false" ht="15" hidden="false" customHeight="false" outlineLevel="0" collapsed="false">
      <c r="A138" s="2" t="s">
        <v>228</v>
      </c>
      <c r="B138" s="2" t="s">
        <v>229</v>
      </c>
      <c r="C138" s="3" t="n">
        <v>66</v>
      </c>
      <c r="D138" s="2" t="s">
        <v>63</v>
      </c>
      <c r="E138" s="2" t="s">
        <v>64</v>
      </c>
      <c r="F138" s="3" t="n">
        <v>50</v>
      </c>
      <c r="G138" s="2" t="s">
        <v>65</v>
      </c>
      <c r="H138" s="4" t="n">
        <v>233.1</v>
      </c>
      <c r="I138" s="4" t="n">
        <v>233.1</v>
      </c>
      <c r="J138" s="2"/>
      <c r="K138" s="5" t="n">
        <v>46205</v>
      </c>
      <c r="L138" s="3"/>
      <c r="M138" s="3"/>
      <c r="N138" s="3" t="n">
        <v>2</v>
      </c>
      <c r="O138" s="3" t="n">
        <v>58</v>
      </c>
      <c r="P138" s="2" t="s">
        <v>85</v>
      </c>
      <c r="Q138" s="2" t="s">
        <v>86</v>
      </c>
      <c r="R138" s="2" t="s">
        <v>87</v>
      </c>
      <c r="S138" s="5" t="n">
        <v>46209</v>
      </c>
      <c r="T138" s="2" t="s">
        <v>51</v>
      </c>
      <c r="U138" s="5" t="n">
        <v>46212</v>
      </c>
      <c r="V138" s="2" t="s">
        <v>88</v>
      </c>
      <c r="W138" s="2" t="s">
        <v>201</v>
      </c>
      <c r="X138" s="2"/>
      <c r="Y138" s="2"/>
      <c r="Z138" s="2"/>
      <c r="AA138" s="2"/>
      <c r="AB138" s="3" t="n">
        <v>1442301</v>
      </c>
      <c r="AC138" s="2" t="s">
        <v>66</v>
      </c>
      <c r="AD138" s="2" t="s">
        <v>67</v>
      </c>
      <c r="AE138" s="2" t="s">
        <v>37</v>
      </c>
    </row>
    <row r="139" customFormat="false" ht="15" hidden="false" customHeight="false" outlineLevel="0" collapsed="false">
      <c r="A139" s="2" t="s">
        <v>228</v>
      </c>
      <c r="B139" s="2" t="s">
        <v>229</v>
      </c>
      <c r="C139" s="3" t="n">
        <v>66</v>
      </c>
      <c r="D139" s="2" t="s">
        <v>63</v>
      </c>
      <c r="E139" s="2" t="s">
        <v>64</v>
      </c>
      <c r="F139" s="3" t="n">
        <v>50</v>
      </c>
      <c r="G139" s="2" t="s">
        <v>65</v>
      </c>
      <c r="H139" s="4" t="n">
        <v>233.1</v>
      </c>
      <c r="I139" s="4" t="n">
        <v>233.1</v>
      </c>
      <c r="J139" s="2"/>
      <c r="K139" s="5" t="n">
        <v>46213</v>
      </c>
      <c r="L139" s="3"/>
      <c r="M139" s="3"/>
      <c r="N139" s="3" t="n">
        <v>20</v>
      </c>
      <c r="O139" s="3" t="n">
        <v>38</v>
      </c>
      <c r="P139" s="2" t="s">
        <v>162</v>
      </c>
      <c r="Q139" s="2" t="s">
        <v>163</v>
      </c>
      <c r="R139" s="2" t="s">
        <v>164</v>
      </c>
      <c r="S139" s="5" t="n">
        <v>46213</v>
      </c>
      <c r="T139" s="2" t="s">
        <v>51</v>
      </c>
      <c r="U139" s="5" t="n">
        <v>46213</v>
      </c>
      <c r="V139" s="2" t="s">
        <v>165</v>
      </c>
      <c r="W139" s="2" t="s">
        <v>166</v>
      </c>
      <c r="X139" s="2"/>
      <c r="Y139" s="2"/>
      <c r="Z139" s="2"/>
      <c r="AA139" s="2"/>
      <c r="AB139" s="3" t="n">
        <v>1442301</v>
      </c>
      <c r="AC139" s="2" t="s">
        <v>66</v>
      </c>
      <c r="AD139" s="2" t="s">
        <v>67</v>
      </c>
      <c r="AE139" s="2" t="s">
        <v>37</v>
      </c>
    </row>
    <row r="140" customFormat="false" ht="15" hidden="false" customHeight="false" outlineLevel="0" collapsed="false">
      <c r="A140" s="2" t="s">
        <v>230</v>
      </c>
      <c r="B140" s="2" t="s">
        <v>231</v>
      </c>
      <c r="C140" s="3" t="n">
        <v>2</v>
      </c>
      <c r="D140" s="2" t="s">
        <v>63</v>
      </c>
      <c r="E140" s="2" t="s">
        <v>64</v>
      </c>
      <c r="F140" s="3" t="n">
        <v>100</v>
      </c>
      <c r="G140" s="2" t="s">
        <v>65</v>
      </c>
      <c r="H140" s="4" t="n">
        <v>900.21</v>
      </c>
      <c r="I140" s="4" t="n">
        <v>900.21</v>
      </c>
      <c r="J140" s="5" t="n">
        <v>46185</v>
      </c>
      <c r="K140" s="2"/>
      <c r="L140" s="3" t="n">
        <v>2</v>
      </c>
      <c r="M140" s="3"/>
      <c r="N140" s="3"/>
      <c r="O140" s="3" t="n">
        <v>2</v>
      </c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3" t="n">
        <v>1442301</v>
      </c>
      <c r="AC140" s="2" t="s">
        <v>66</v>
      </c>
      <c r="AD140" s="2" t="s">
        <v>67</v>
      </c>
      <c r="AE140" s="2" t="s">
        <v>37</v>
      </c>
    </row>
    <row r="141" customFormat="false" ht="15" hidden="false" customHeight="false" outlineLevel="0" collapsed="false">
      <c r="A141" s="2" t="s">
        <v>230</v>
      </c>
      <c r="B141" s="2" t="s">
        <v>231</v>
      </c>
      <c r="C141" s="3" t="n">
        <v>2</v>
      </c>
      <c r="D141" s="2" t="s">
        <v>63</v>
      </c>
      <c r="E141" s="2" t="s">
        <v>64</v>
      </c>
      <c r="F141" s="3" t="n">
        <v>100</v>
      </c>
      <c r="G141" s="2" t="s">
        <v>65</v>
      </c>
      <c r="H141" s="4" t="n">
        <v>900.21</v>
      </c>
      <c r="I141" s="4" t="n">
        <v>900.21</v>
      </c>
      <c r="J141" s="2"/>
      <c r="K141" s="5" t="n">
        <v>46192</v>
      </c>
      <c r="L141" s="3"/>
      <c r="M141" s="3"/>
      <c r="N141" s="3" t="n">
        <v>1</v>
      </c>
      <c r="O141" s="3" t="n">
        <v>1</v>
      </c>
      <c r="P141" s="2"/>
      <c r="Q141" s="2" t="s">
        <v>68</v>
      </c>
      <c r="R141" s="2" t="s">
        <v>69</v>
      </c>
      <c r="S141" s="5" t="n">
        <v>46192</v>
      </c>
      <c r="T141" s="2" t="s">
        <v>51</v>
      </c>
      <c r="U141" s="5" t="n">
        <v>46192</v>
      </c>
      <c r="V141" s="2"/>
      <c r="W141" s="2" t="s">
        <v>70</v>
      </c>
      <c r="X141" s="2"/>
      <c r="Y141" s="2"/>
      <c r="Z141" s="2"/>
      <c r="AA141" s="2"/>
      <c r="AB141" s="3" t="n">
        <v>1442301</v>
      </c>
      <c r="AC141" s="2" t="s">
        <v>66</v>
      </c>
      <c r="AD141" s="2" t="s">
        <v>67</v>
      </c>
      <c r="AE141" s="2" t="s">
        <v>37</v>
      </c>
    </row>
    <row r="142" customFormat="false" ht="15" hidden="false" customHeight="false" outlineLevel="0" collapsed="false">
      <c r="A142" s="2" t="s">
        <v>230</v>
      </c>
      <c r="B142" s="2" t="s">
        <v>231</v>
      </c>
      <c r="C142" s="3" t="n">
        <v>2</v>
      </c>
      <c r="D142" s="2" t="s">
        <v>63</v>
      </c>
      <c r="E142" s="2" t="s">
        <v>64</v>
      </c>
      <c r="F142" s="3" t="n">
        <v>100</v>
      </c>
      <c r="G142" s="2" t="s">
        <v>65</v>
      </c>
      <c r="H142" s="4" t="n">
        <v>900.21</v>
      </c>
      <c r="I142" s="4" t="n">
        <v>900.21</v>
      </c>
      <c r="J142" s="2"/>
      <c r="K142" s="5" t="n">
        <v>46213</v>
      </c>
      <c r="L142" s="3"/>
      <c r="M142" s="3"/>
      <c r="N142" s="3" t="n">
        <v>1</v>
      </c>
      <c r="O142" s="3"/>
      <c r="P142" s="2" t="s">
        <v>162</v>
      </c>
      <c r="Q142" s="2" t="s">
        <v>163</v>
      </c>
      <c r="R142" s="2" t="s">
        <v>164</v>
      </c>
      <c r="S142" s="5" t="n">
        <v>46213</v>
      </c>
      <c r="T142" s="2" t="s">
        <v>51</v>
      </c>
      <c r="U142" s="5" t="n">
        <v>46213</v>
      </c>
      <c r="V142" s="2" t="s">
        <v>165</v>
      </c>
      <c r="W142" s="2" t="s">
        <v>166</v>
      </c>
      <c r="X142" s="2"/>
      <c r="Y142" s="2"/>
      <c r="Z142" s="2"/>
      <c r="AA142" s="2"/>
      <c r="AB142" s="3" t="n">
        <v>1442301</v>
      </c>
      <c r="AC142" s="2" t="s">
        <v>66</v>
      </c>
      <c r="AD142" s="2" t="s">
        <v>67</v>
      </c>
      <c r="AE142" s="2" t="s">
        <v>37</v>
      </c>
    </row>
    <row r="143" customFormat="false" ht="15" hidden="false" customHeight="false" outlineLevel="0" collapsed="false">
      <c r="A143" s="2" t="s">
        <v>230</v>
      </c>
      <c r="B143" s="2" t="s">
        <v>232</v>
      </c>
      <c r="C143" s="3" t="n">
        <v>2</v>
      </c>
      <c r="D143" s="2" t="s">
        <v>63</v>
      </c>
      <c r="E143" s="2" t="s">
        <v>64</v>
      </c>
      <c r="F143" s="3" t="n">
        <v>100</v>
      </c>
      <c r="G143" s="2" t="s">
        <v>65</v>
      </c>
      <c r="H143" s="4" t="n">
        <v>900.21</v>
      </c>
      <c r="I143" s="4" t="n">
        <v>900.21</v>
      </c>
      <c r="J143" s="5" t="n">
        <v>46185</v>
      </c>
      <c r="K143" s="2"/>
      <c r="L143" s="3" t="n">
        <v>9</v>
      </c>
      <c r="M143" s="3"/>
      <c r="N143" s="3"/>
      <c r="O143" s="3" t="n">
        <v>9</v>
      </c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3" t="n">
        <v>1442301</v>
      </c>
      <c r="AC143" s="2" t="s">
        <v>66</v>
      </c>
      <c r="AD143" s="2" t="s">
        <v>67</v>
      </c>
      <c r="AE143" s="2" t="s">
        <v>37</v>
      </c>
    </row>
    <row r="144" customFormat="false" ht="15" hidden="false" customHeight="false" outlineLevel="0" collapsed="false">
      <c r="A144" s="2" t="s">
        <v>233</v>
      </c>
      <c r="B144" s="2" t="s">
        <v>234</v>
      </c>
      <c r="C144" s="3" t="n">
        <v>448</v>
      </c>
      <c r="D144" s="2" t="s">
        <v>63</v>
      </c>
      <c r="E144" s="2" t="s">
        <v>64</v>
      </c>
      <c r="F144" s="3" t="n">
        <v>100</v>
      </c>
      <c r="G144" s="2" t="s">
        <v>65</v>
      </c>
      <c r="H144" s="4" t="n">
        <v>165.39</v>
      </c>
      <c r="I144" s="4" t="n">
        <v>165.39</v>
      </c>
      <c r="J144" s="5" t="n">
        <v>46185</v>
      </c>
      <c r="K144" s="2"/>
      <c r="L144" s="3" t="n">
        <v>448</v>
      </c>
      <c r="M144" s="3"/>
      <c r="N144" s="3"/>
      <c r="O144" s="3" t="n">
        <v>448</v>
      </c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3" t="n">
        <v>1442301</v>
      </c>
      <c r="AC144" s="2" t="s">
        <v>66</v>
      </c>
      <c r="AD144" s="2" t="s">
        <v>67</v>
      </c>
      <c r="AE144" s="2" t="s">
        <v>37</v>
      </c>
    </row>
    <row r="145" customFormat="false" ht="15" hidden="false" customHeight="false" outlineLevel="0" collapsed="false">
      <c r="A145" s="2" t="s">
        <v>233</v>
      </c>
      <c r="B145" s="2" t="s">
        <v>234</v>
      </c>
      <c r="C145" s="3" t="n">
        <v>448</v>
      </c>
      <c r="D145" s="2" t="s">
        <v>63</v>
      </c>
      <c r="E145" s="2" t="s">
        <v>64</v>
      </c>
      <c r="F145" s="3" t="n">
        <v>100</v>
      </c>
      <c r="G145" s="2" t="s">
        <v>65</v>
      </c>
      <c r="H145" s="4" t="n">
        <v>165.39</v>
      </c>
      <c r="I145" s="4" t="n">
        <v>165.39</v>
      </c>
      <c r="J145" s="2"/>
      <c r="K145" s="5" t="n">
        <v>46188</v>
      </c>
      <c r="L145" s="3"/>
      <c r="M145" s="3"/>
      <c r="N145" s="3" t="n">
        <v>10</v>
      </c>
      <c r="O145" s="3" t="n">
        <v>438</v>
      </c>
      <c r="P145" s="2" t="s">
        <v>108</v>
      </c>
      <c r="Q145" s="2" t="s">
        <v>109</v>
      </c>
      <c r="R145" s="2" t="s">
        <v>110</v>
      </c>
      <c r="S145" s="5" t="n">
        <v>46191</v>
      </c>
      <c r="T145" s="2" t="s">
        <v>55</v>
      </c>
      <c r="U145" s="5" t="n">
        <v>46192</v>
      </c>
      <c r="V145" s="2" t="s">
        <v>111</v>
      </c>
      <c r="W145" s="2" t="s">
        <v>112</v>
      </c>
      <c r="X145" s="2"/>
      <c r="Y145" s="2"/>
      <c r="Z145" s="2"/>
      <c r="AA145" s="2"/>
      <c r="AB145" s="3" t="n">
        <v>1442301</v>
      </c>
      <c r="AC145" s="2" t="s">
        <v>66</v>
      </c>
      <c r="AD145" s="2" t="s">
        <v>67</v>
      </c>
      <c r="AE145" s="2" t="s">
        <v>37</v>
      </c>
    </row>
    <row r="146" customFormat="false" ht="15" hidden="false" customHeight="false" outlineLevel="0" collapsed="false">
      <c r="A146" s="2" t="s">
        <v>233</v>
      </c>
      <c r="B146" s="2" t="s">
        <v>234</v>
      </c>
      <c r="C146" s="3" t="n">
        <v>448</v>
      </c>
      <c r="D146" s="2" t="s">
        <v>63</v>
      </c>
      <c r="E146" s="2" t="s">
        <v>64</v>
      </c>
      <c r="F146" s="3" t="n">
        <v>100</v>
      </c>
      <c r="G146" s="2" t="s">
        <v>65</v>
      </c>
      <c r="H146" s="4" t="n">
        <v>165.39</v>
      </c>
      <c r="I146" s="4" t="n">
        <v>165.39</v>
      </c>
      <c r="J146" s="2"/>
      <c r="K146" s="5" t="n">
        <v>46188</v>
      </c>
      <c r="L146" s="3"/>
      <c r="M146" s="3"/>
      <c r="N146" s="3" t="n">
        <v>2</v>
      </c>
      <c r="O146" s="3" t="n">
        <v>436</v>
      </c>
      <c r="P146" s="2" t="s">
        <v>156</v>
      </c>
      <c r="Q146" s="2" t="s">
        <v>157</v>
      </c>
      <c r="R146" s="2" t="s">
        <v>158</v>
      </c>
      <c r="S146" s="5" t="n">
        <v>46190</v>
      </c>
      <c r="T146" s="2" t="s">
        <v>55</v>
      </c>
      <c r="U146" s="5" t="n">
        <v>46190</v>
      </c>
      <c r="V146" s="2"/>
      <c r="W146" s="2"/>
      <c r="X146" s="2"/>
      <c r="Y146" s="2"/>
      <c r="Z146" s="2"/>
      <c r="AA146" s="2"/>
      <c r="AB146" s="3" t="n">
        <v>1442301</v>
      </c>
      <c r="AC146" s="2" t="s">
        <v>66</v>
      </c>
      <c r="AD146" s="2" t="s">
        <v>67</v>
      </c>
      <c r="AE146" s="2" t="s">
        <v>37</v>
      </c>
    </row>
    <row r="147" customFormat="false" ht="15" hidden="false" customHeight="false" outlineLevel="0" collapsed="false">
      <c r="A147" s="2" t="s">
        <v>233</v>
      </c>
      <c r="B147" s="2" t="s">
        <v>234</v>
      </c>
      <c r="C147" s="3" t="n">
        <v>448</v>
      </c>
      <c r="D147" s="2" t="s">
        <v>63</v>
      </c>
      <c r="E147" s="2" t="s">
        <v>64</v>
      </c>
      <c r="F147" s="3" t="n">
        <v>100</v>
      </c>
      <c r="G147" s="2" t="s">
        <v>65</v>
      </c>
      <c r="H147" s="4" t="n">
        <v>165.39</v>
      </c>
      <c r="I147" s="4" t="n">
        <v>165.39</v>
      </c>
      <c r="J147" s="2"/>
      <c r="K147" s="5" t="n">
        <v>46188</v>
      </c>
      <c r="L147" s="3"/>
      <c r="M147" s="3"/>
      <c r="N147" s="3" t="n">
        <v>2</v>
      </c>
      <c r="O147" s="3" t="n">
        <v>434</v>
      </c>
      <c r="P147" s="2" t="s">
        <v>129</v>
      </c>
      <c r="Q147" s="2" t="s">
        <v>130</v>
      </c>
      <c r="R147" s="2" t="s">
        <v>131</v>
      </c>
      <c r="S147" s="5" t="n">
        <v>46190</v>
      </c>
      <c r="T147" s="2" t="s">
        <v>55</v>
      </c>
      <c r="U147" s="5" t="n">
        <v>46190</v>
      </c>
      <c r="V147" s="2"/>
      <c r="W147" s="2"/>
      <c r="X147" s="2"/>
      <c r="Y147" s="2"/>
      <c r="Z147" s="2"/>
      <c r="AA147" s="2"/>
      <c r="AB147" s="3" t="n">
        <v>1442301</v>
      </c>
      <c r="AC147" s="2" t="s">
        <v>66</v>
      </c>
      <c r="AD147" s="2" t="s">
        <v>67</v>
      </c>
      <c r="AE147" s="2" t="s">
        <v>37</v>
      </c>
    </row>
    <row r="148" customFormat="false" ht="15" hidden="false" customHeight="false" outlineLevel="0" collapsed="false">
      <c r="A148" s="2" t="s">
        <v>233</v>
      </c>
      <c r="B148" s="2" t="s">
        <v>234</v>
      </c>
      <c r="C148" s="3" t="n">
        <v>448</v>
      </c>
      <c r="D148" s="2" t="s">
        <v>63</v>
      </c>
      <c r="E148" s="2" t="s">
        <v>64</v>
      </c>
      <c r="F148" s="3" t="n">
        <v>100</v>
      </c>
      <c r="G148" s="2" t="s">
        <v>65</v>
      </c>
      <c r="H148" s="4" t="n">
        <v>165.39</v>
      </c>
      <c r="I148" s="4" t="n">
        <v>165.39</v>
      </c>
      <c r="J148" s="2"/>
      <c r="K148" s="5" t="n">
        <v>46188</v>
      </c>
      <c r="L148" s="3"/>
      <c r="M148" s="3"/>
      <c r="N148" s="3" t="n">
        <v>4</v>
      </c>
      <c r="O148" s="3" t="n">
        <v>430</v>
      </c>
      <c r="P148" s="2" t="s">
        <v>123</v>
      </c>
      <c r="Q148" s="2" t="s">
        <v>124</v>
      </c>
      <c r="R148" s="2" t="s">
        <v>125</v>
      </c>
      <c r="S148" s="5" t="n">
        <v>46190</v>
      </c>
      <c r="T148" s="2" t="s">
        <v>55</v>
      </c>
      <c r="U148" s="5" t="n">
        <v>46192</v>
      </c>
      <c r="V148" s="2"/>
      <c r="W148" s="2"/>
      <c r="X148" s="2"/>
      <c r="Y148" s="2"/>
      <c r="Z148" s="2"/>
      <c r="AA148" s="2"/>
      <c r="AB148" s="3" t="n">
        <v>1442301</v>
      </c>
      <c r="AC148" s="2" t="s">
        <v>66</v>
      </c>
      <c r="AD148" s="2" t="s">
        <v>67</v>
      </c>
      <c r="AE148" s="2" t="s">
        <v>37</v>
      </c>
    </row>
    <row r="149" customFormat="false" ht="15" hidden="false" customHeight="false" outlineLevel="0" collapsed="false">
      <c r="A149" s="2" t="s">
        <v>233</v>
      </c>
      <c r="B149" s="2" t="s">
        <v>234</v>
      </c>
      <c r="C149" s="3" t="n">
        <v>448</v>
      </c>
      <c r="D149" s="2" t="s">
        <v>63</v>
      </c>
      <c r="E149" s="2" t="s">
        <v>64</v>
      </c>
      <c r="F149" s="3" t="n">
        <v>100</v>
      </c>
      <c r="G149" s="2" t="s">
        <v>65</v>
      </c>
      <c r="H149" s="4" t="n">
        <v>165.39</v>
      </c>
      <c r="I149" s="4" t="n">
        <v>165.39</v>
      </c>
      <c r="J149" s="2"/>
      <c r="K149" s="5" t="n">
        <v>46188</v>
      </c>
      <c r="L149" s="3"/>
      <c r="M149" s="3"/>
      <c r="N149" s="3" t="n">
        <v>2</v>
      </c>
      <c r="O149" s="3" t="n">
        <v>428</v>
      </c>
      <c r="P149" s="2" t="s">
        <v>79</v>
      </c>
      <c r="Q149" s="2" t="s">
        <v>80</v>
      </c>
      <c r="R149" s="2" t="s">
        <v>81</v>
      </c>
      <c r="S149" s="5" t="n">
        <v>46191</v>
      </c>
      <c r="T149" s="2" t="s">
        <v>55</v>
      </c>
      <c r="U149" s="5" t="n">
        <v>46191</v>
      </c>
      <c r="V149" s="2"/>
      <c r="W149" s="2"/>
      <c r="X149" s="2"/>
      <c r="Y149" s="2"/>
      <c r="Z149" s="2"/>
      <c r="AA149" s="2"/>
      <c r="AB149" s="3" t="n">
        <v>1442301</v>
      </c>
      <c r="AC149" s="2" t="s">
        <v>66</v>
      </c>
      <c r="AD149" s="2" t="s">
        <v>67</v>
      </c>
      <c r="AE149" s="2" t="s">
        <v>37</v>
      </c>
    </row>
    <row r="150" customFormat="false" ht="15" hidden="false" customHeight="false" outlineLevel="0" collapsed="false">
      <c r="A150" s="2" t="s">
        <v>233</v>
      </c>
      <c r="B150" s="2" t="s">
        <v>234</v>
      </c>
      <c r="C150" s="3" t="n">
        <v>448</v>
      </c>
      <c r="D150" s="2" t="s">
        <v>63</v>
      </c>
      <c r="E150" s="2" t="s">
        <v>64</v>
      </c>
      <c r="F150" s="3" t="n">
        <v>100</v>
      </c>
      <c r="G150" s="2" t="s">
        <v>65</v>
      </c>
      <c r="H150" s="4" t="n">
        <v>165.39</v>
      </c>
      <c r="I150" s="4" t="n">
        <v>165.39</v>
      </c>
      <c r="J150" s="2"/>
      <c r="K150" s="5" t="n">
        <v>46191</v>
      </c>
      <c r="L150" s="3"/>
      <c r="M150" s="3"/>
      <c r="N150" s="3" t="n">
        <v>5</v>
      </c>
      <c r="O150" s="3" t="n">
        <v>423</v>
      </c>
      <c r="P150" s="2" t="s">
        <v>135</v>
      </c>
      <c r="Q150" s="2" t="s">
        <v>136</v>
      </c>
      <c r="R150" s="2" t="s">
        <v>137</v>
      </c>
      <c r="S150" s="5" t="n">
        <v>46191</v>
      </c>
      <c r="T150" s="2" t="s">
        <v>55</v>
      </c>
      <c r="U150" s="5" t="n">
        <v>46196</v>
      </c>
      <c r="V150" s="2"/>
      <c r="W150" s="2"/>
      <c r="X150" s="2"/>
      <c r="Y150" s="2"/>
      <c r="Z150" s="2"/>
      <c r="AA150" s="2"/>
      <c r="AB150" s="3" t="n">
        <v>1442301</v>
      </c>
      <c r="AC150" s="2" t="s">
        <v>66</v>
      </c>
      <c r="AD150" s="2" t="s">
        <v>67</v>
      </c>
      <c r="AE150" s="2" t="s">
        <v>37</v>
      </c>
    </row>
    <row r="151" customFormat="false" ht="15" hidden="false" customHeight="false" outlineLevel="0" collapsed="false">
      <c r="A151" s="2" t="s">
        <v>233</v>
      </c>
      <c r="B151" s="2" t="s">
        <v>234</v>
      </c>
      <c r="C151" s="3" t="n">
        <v>448</v>
      </c>
      <c r="D151" s="2" t="s">
        <v>63</v>
      </c>
      <c r="E151" s="2" t="s">
        <v>64</v>
      </c>
      <c r="F151" s="3" t="n">
        <v>100</v>
      </c>
      <c r="G151" s="2" t="s">
        <v>65</v>
      </c>
      <c r="H151" s="4" t="n">
        <v>165.39</v>
      </c>
      <c r="I151" s="4" t="n">
        <v>165.39</v>
      </c>
      <c r="J151" s="2"/>
      <c r="K151" s="5" t="n">
        <v>46191</v>
      </c>
      <c r="L151" s="3"/>
      <c r="M151" s="3"/>
      <c r="N151" s="3" t="n">
        <v>2</v>
      </c>
      <c r="O151" s="3" t="n">
        <v>421</v>
      </c>
      <c r="P151" s="2" t="s">
        <v>90</v>
      </c>
      <c r="Q151" s="2" t="s">
        <v>91</v>
      </c>
      <c r="R151" s="2" t="s">
        <v>92</v>
      </c>
      <c r="S151" s="5" t="n">
        <v>46191</v>
      </c>
      <c r="T151" s="2" t="s">
        <v>55</v>
      </c>
      <c r="U151" s="5" t="n">
        <v>46199</v>
      </c>
      <c r="V151" s="2"/>
      <c r="W151" s="2"/>
      <c r="X151" s="2"/>
      <c r="Y151" s="2"/>
      <c r="Z151" s="2"/>
      <c r="AA151" s="2"/>
      <c r="AB151" s="3" t="n">
        <v>1442301</v>
      </c>
      <c r="AC151" s="2" t="s">
        <v>66</v>
      </c>
      <c r="AD151" s="2" t="s">
        <v>67</v>
      </c>
      <c r="AE151" s="2" t="s">
        <v>37</v>
      </c>
    </row>
    <row r="152" customFormat="false" ht="15" hidden="false" customHeight="false" outlineLevel="0" collapsed="false">
      <c r="A152" s="2" t="s">
        <v>233</v>
      </c>
      <c r="B152" s="2" t="s">
        <v>234</v>
      </c>
      <c r="C152" s="3" t="n">
        <v>448</v>
      </c>
      <c r="D152" s="2" t="s">
        <v>63</v>
      </c>
      <c r="E152" s="2" t="s">
        <v>64</v>
      </c>
      <c r="F152" s="3" t="n">
        <v>100</v>
      </c>
      <c r="G152" s="2" t="s">
        <v>65</v>
      </c>
      <c r="H152" s="4" t="n">
        <v>165.39</v>
      </c>
      <c r="I152" s="4" t="n">
        <v>165.39</v>
      </c>
      <c r="J152" s="2"/>
      <c r="K152" s="5" t="n">
        <v>46191</v>
      </c>
      <c r="L152" s="3"/>
      <c r="M152" s="3"/>
      <c r="N152" s="3" t="n">
        <v>3</v>
      </c>
      <c r="O152" s="3" t="n">
        <v>418</v>
      </c>
      <c r="P152" s="2" t="s">
        <v>159</v>
      </c>
      <c r="Q152" s="2" t="s">
        <v>160</v>
      </c>
      <c r="R152" s="2" t="s">
        <v>161</v>
      </c>
      <c r="S152" s="5" t="n">
        <v>46191</v>
      </c>
      <c r="T152" s="2" t="s">
        <v>55</v>
      </c>
      <c r="U152" s="5" t="n">
        <v>46191</v>
      </c>
      <c r="V152" s="2"/>
      <c r="W152" s="2"/>
      <c r="X152" s="2"/>
      <c r="Y152" s="2"/>
      <c r="Z152" s="2"/>
      <c r="AA152" s="2"/>
      <c r="AB152" s="3" t="n">
        <v>1442301</v>
      </c>
      <c r="AC152" s="2" t="s">
        <v>66</v>
      </c>
      <c r="AD152" s="2" t="s">
        <v>67</v>
      </c>
      <c r="AE152" s="2" t="s">
        <v>37</v>
      </c>
    </row>
    <row r="153" customFormat="false" ht="15" hidden="false" customHeight="false" outlineLevel="0" collapsed="false">
      <c r="A153" s="2" t="s">
        <v>233</v>
      </c>
      <c r="B153" s="2" t="s">
        <v>234</v>
      </c>
      <c r="C153" s="3" t="n">
        <v>448</v>
      </c>
      <c r="D153" s="2" t="s">
        <v>63</v>
      </c>
      <c r="E153" s="2" t="s">
        <v>64</v>
      </c>
      <c r="F153" s="3" t="n">
        <v>100</v>
      </c>
      <c r="G153" s="2" t="s">
        <v>65</v>
      </c>
      <c r="H153" s="4" t="n">
        <v>165.39</v>
      </c>
      <c r="I153" s="4" t="n">
        <v>165.39</v>
      </c>
      <c r="J153" s="2"/>
      <c r="K153" s="5" t="n">
        <v>46192</v>
      </c>
      <c r="L153" s="3"/>
      <c r="M153" s="3"/>
      <c r="N153" s="3" t="n">
        <v>2</v>
      </c>
      <c r="O153" s="3" t="n">
        <v>416</v>
      </c>
      <c r="P153" s="2" t="s">
        <v>82</v>
      </c>
      <c r="Q153" s="2" t="s">
        <v>83</v>
      </c>
      <c r="R153" s="2" t="s">
        <v>84</v>
      </c>
      <c r="S153" s="5" t="n">
        <v>46192</v>
      </c>
      <c r="T153" s="2" t="s">
        <v>51</v>
      </c>
      <c r="U153" s="5" t="n">
        <v>46192</v>
      </c>
      <c r="V153" s="2"/>
      <c r="W153" s="2"/>
      <c r="X153" s="2"/>
      <c r="Y153" s="2"/>
      <c r="Z153" s="2"/>
      <c r="AA153" s="2"/>
      <c r="AB153" s="3" t="n">
        <v>1442301</v>
      </c>
      <c r="AC153" s="2" t="s">
        <v>66</v>
      </c>
      <c r="AD153" s="2" t="s">
        <v>67</v>
      </c>
      <c r="AE153" s="2" t="s">
        <v>37</v>
      </c>
    </row>
    <row r="154" customFormat="false" ht="15" hidden="false" customHeight="false" outlineLevel="0" collapsed="false">
      <c r="A154" s="2" t="s">
        <v>233</v>
      </c>
      <c r="B154" s="2" t="s">
        <v>234</v>
      </c>
      <c r="C154" s="3" t="n">
        <v>448</v>
      </c>
      <c r="D154" s="2" t="s">
        <v>63</v>
      </c>
      <c r="E154" s="2" t="s">
        <v>64</v>
      </c>
      <c r="F154" s="3" t="n">
        <v>100</v>
      </c>
      <c r="G154" s="2" t="s">
        <v>65</v>
      </c>
      <c r="H154" s="4" t="n">
        <v>165.39</v>
      </c>
      <c r="I154" s="4" t="n">
        <v>165.39</v>
      </c>
      <c r="J154" s="2"/>
      <c r="K154" s="5" t="n">
        <v>46192</v>
      </c>
      <c r="L154" s="3"/>
      <c r="M154" s="3"/>
      <c r="N154" s="3" t="n">
        <v>2</v>
      </c>
      <c r="O154" s="3" t="n">
        <v>414</v>
      </c>
      <c r="P154" s="2"/>
      <c r="Q154" s="2" t="s">
        <v>68</v>
      </c>
      <c r="R154" s="2" t="s">
        <v>69</v>
      </c>
      <c r="S154" s="5" t="n">
        <v>46192</v>
      </c>
      <c r="T154" s="2" t="s">
        <v>51</v>
      </c>
      <c r="U154" s="5" t="n">
        <v>46192</v>
      </c>
      <c r="V154" s="2"/>
      <c r="W154" s="2" t="s">
        <v>70</v>
      </c>
      <c r="X154" s="2"/>
      <c r="Y154" s="2"/>
      <c r="Z154" s="2"/>
      <c r="AA154" s="2"/>
      <c r="AB154" s="3" t="n">
        <v>1442301</v>
      </c>
      <c r="AC154" s="2" t="s">
        <v>66</v>
      </c>
      <c r="AD154" s="2" t="s">
        <v>67</v>
      </c>
      <c r="AE154" s="2" t="s">
        <v>37</v>
      </c>
    </row>
    <row r="155" customFormat="false" ht="15" hidden="false" customHeight="false" outlineLevel="0" collapsed="false">
      <c r="A155" s="2" t="s">
        <v>233</v>
      </c>
      <c r="B155" s="2" t="s">
        <v>234</v>
      </c>
      <c r="C155" s="3" t="n">
        <v>448</v>
      </c>
      <c r="D155" s="2" t="s">
        <v>63</v>
      </c>
      <c r="E155" s="2" t="s">
        <v>64</v>
      </c>
      <c r="F155" s="3" t="n">
        <v>100</v>
      </c>
      <c r="G155" s="2" t="s">
        <v>65</v>
      </c>
      <c r="H155" s="4" t="n">
        <v>165.39</v>
      </c>
      <c r="I155" s="4" t="n">
        <v>165.39</v>
      </c>
      <c r="J155" s="2"/>
      <c r="K155" s="5" t="n">
        <v>46209</v>
      </c>
      <c r="L155" s="3"/>
      <c r="M155" s="3"/>
      <c r="N155" s="3" t="n">
        <v>7</v>
      </c>
      <c r="O155" s="3" t="n">
        <v>407</v>
      </c>
      <c r="P155" s="2" t="s">
        <v>138</v>
      </c>
      <c r="Q155" s="2" t="s">
        <v>139</v>
      </c>
      <c r="R155" s="2" t="s">
        <v>140</v>
      </c>
      <c r="S155" s="5" t="n">
        <v>46209</v>
      </c>
      <c r="T155" s="2" t="s">
        <v>55</v>
      </c>
      <c r="U155" s="5" t="n">
        <v>46212</v>
      </c>
      <c r="V155" s="2" t="s">
        <v>141</v>
      </c>
      <c r="W155" s="2" t="s">
        <v>142</v>
      </c>
      <c r="X155" s="2"/>
      <c r="Y155" s="2"/>
      <c r="Z155" s="2"/>
      <c r="AA155" s="2"/>
      <c r="AB155" s="3" t="n">
        <v>1442301</v>
      </c>
      <c r="AC155" s="2" t="s">
        <v>66</v>
      </c>
      <c r="AD155" s="2" t="s">
        <v>67</v>
      </c>
      <c r="AE155" s="2" t="s">
        <v>37</v>
      </c>
    </row>
    <row r="156" customFormat="false" ht="15" hidden="false" customHeight="false" outlineLevel="0" collapsed="false">
      <c r="A156" s="2" t="s">
        <v>233</v>
      </c>
      <c r="B156" s="2" t="s">
        <v>234</v>
      </c>
      <c r="C156" s="3" t="n">
        <v>448</v>
      </c>
      <c r="D156" s="2" t="s">
        <v>63</v>
      </c>
      <c r="E156" s="2" t="s">
        <v>64</v>
      </c>
      <c r="F156" s="3" t="n">
        <v>100</v>
      </c>
      <c r="G156" s="2" t="s">
        <v>65</v>
      </c>
      <c r="H156" s="4" t="n">
        <v>165.39</v>
      </c>
      <c r="I156" s="4" t="n">
        <v>165.39</v>
      </c>
      <c r="J156" s="2"/>
      <c r="K156" s="5" t="n">
        <v>46209</v>
      </c>
      <c r="L156" s="3"/>
      <c r="M156" s="3"/>
      <c r="N156" s="3" t="n">
        <v>6</v>
      </c>
      <c r="O156" s="3" t="n">
        <v>401</v>
      </c>
      <c r="P156" s="2" t="s">
        <v>85</v>
      </c>
      <c r="Q156" s="2" t="s">
        <v>86</v>
      </c>
      <c r="R156" s="2" t="s">
        <v>87</v>
      </c>
      <c r="S156" s="5" t="n">
        <v>46209</v>
      </c>
      <c r="T156" s="2" t="s">
        <v>51</v>
      </c>
      <c r="U156" s="5" t="n">
        <v>46212</v>
      </c>
      <c r="V156" s="2" t="s">
        <v>88</v>
      </c>
      <c r="W156" s="2" t="s">
        <v>201</v>
      </c>
      <c r="X156" s="2"/>
      <c r="Y156" s="2"/>
      <c r="Z156" s="2"/>
      <c r="AA156" s="2"/>
      <c r="AB156" s="3" t="n">
        <v>1442301</v>
      </c>
      <c r="AC156" s="2" t="s">
        <v>66</v>
      </c>
      <c r="AD156" s="2" t="s">
        <v>67</v>
      </c>
      <c r="AE156" s="2" t="s">
        <v>37</v>
      </c>
    </row>
    <row r="157" customFormat="false" ht="15" hidden="false" customHeight="false" outlineLevel="0" collapsed="false">
      <c r="A157" s="2" t="s">
        <v>233</v>
      </c>
      <c r="B157" s="2" t="s">
        <v>234</v>
      </c>
      <c r="C157" s="3" t="n">
        <v>448</v>
      </c>
      <c r="D157" s="2" t="s">
        <v>63</v>
      </c>
      <c r="E157" s="2" t="s">
        <v>64</v>
      </c>
      <c r="F157" s="3" t="n">
        <v>100</v>
      </c>
      <c r="G157" s="2" t="s">
        <v>65</v>
      </c>
      <c r="H157" s="4" t="n">
        <v>165.39</v>
      </c>
      <c r="I157" s="4" t="n">
        <v>165.39</v>
      </c>
      <c r="J157" s="2"/>
      <c r="K157" s="5" t="n">
        <v>46213</v>
      </c>
      <c r="L157" s="3"/>
      <c r="M157" s="3"/>
      <c r="N157" s="3" t="n">
        <v>15</v>
      </c>
      <c r="O157" s="3" t="n">
        <v>386</v>
      </c>
      <c r="P157" s="2" t="s">
        <v>162</v>
      </c>
      <c r="Q157" s="2" t="s">
        <v>163</v>
      </c>
      <c r="R157" s="2" t="s">
        <v>164</v>
      </c>
      <c r="S157" s="5" t="n">
        <v>46213</v>
      </c>
      <c r="T157" s="2" t="s">
        <v>51</v>
      </c>
      <c r="U157" s="5" t="n">
        <v>46213</v>
      </c>
      <c r="V157" s="2" t="s">
        <v>165</v>
      </c>
      <c r="W157" s="2" t="s">
        <v>166</v>
      </c>
      <c r="X157" s="2"/>
      <c r="Y157" s="2"/>
      <c r="Z157" s="2"/>
      <c r="AA157" s="2"/>
      <c r="AB157" s="3" t="n">
        <v>1442301</v>
      </c>
      <c r="AC157" s="2" t="s">
        <v>66</v>
      </c>
      <c r="AD157" s="2" t="s">
        <v>67</v>
      </c>
      <c r="AE157" s="2" t="s">
        <v>37</v>
      </c>
    </row>
    <row r="158" customFormat="false" ht="15" hidden="false" customHeight="false" outlineLevel="0" collapsed="false">
      <c r="A158" s="2" t="s">
        <v>233</v>
      </c>
      <c r="B158" s="2" t="s">
        <v>234</v>
      </c>
      <c r="C158" s="3" t="n">
        <v>448</v>
      </c>
      <c r="D158" s="2" t="s">
        <v>63</v>
      </c>
      <c r="E158" s="2" t="s">
        <v>64</v>
      </c>
      <c r="F158" s="3" t="n">
        <v>100</v>
      </c>
      <c r="G158" s="2" t="s">
        <v>65</v>
      </c>
      <c r="H158" s="4" t="n">
        <v>165.39</v>
      </c>
      <c r="I158" s="4" t="n">
        <v>165.39</v>
      </c>
      <c r="J158" s="2"/>
      <c r="K158" s="5" t="n">
        <v>46213</v>
      </c>
      <c r="L158" s="3"/>
      <c r="M158" s="3"/>
      <c r="N158" s="3" t="n">
        <v>8</v>
      </c>
      <c r="O158" s="3" t="n">
        <v>378</v>
      </c>
      <c r="P158" s="2" t="s">
        <v>235</v>
      </c>
      <c r="Q158" s="2" t="s">
        <v>236</v>
      </c>
      <c r="R158" s="2" t="s">
        <v>237</v>
      </c>
      <c r="S158" s="5" t="n">
        <v>46213</v>
      </c>
      <c r="T158" s="2" t="s">
        <v>55</v>
      </c>
      <c r="U158" s="5" t="n">
        <v>46214</v>
      </c>
      <c r="V158" s="2" t="s">
        <v>238</v>
      </c>
      <c r="W158" s="2" t="s">
        <v>239</v>
      </c>
      <c r="X158" s="2"/>
      <c r="Y158" s="2"/>
      <c r="Z158" s="2"/>
      <c r="AA158" s="2"/>
      <c r="AB158" s="3" t="n">
        <v>1442301</v>
      </c>
      <c r="AC158" s="2" t="s">
        <v>66</v>
      </c>
      <c r="AD158" s="2" t="s">
        <v>67</v>
      </c>
      <c r="AE158" s="2" t="s">
        <v>37</v>
      </c>
    </row>
    <row r="159" customFormat="false" ht="15" hidden="false" customHeight="false" outlineLevel="0" collapsed="false">
      <c r="A159" s="2" t="s">
        <v>240</v>
      </c>
      <c r="B159" s="2" t="s">
        <v>241</v>
      </c>
      <c r="C159" s="3" t="n">
        <v>51</v>
      </c>
      <c r="D159" s="2" t="s">
        <v>63</v>
      </c>
      <c r="E159" s="2" t="s">
        <v>64</v>
      </c>
      <c r="F159" s="3" t="n">
        <v>100</v>
      </c>
      <c r="G159" s="2" t="s">
        <v>65</v>
      </c>
      <c r="H159" s="4" t="n">
        <v>1465.2</v>
      </c>
      <c r="I159" s="4" t="n">
        <v>1465.2</v>
      </c>
      <c r="J159" s="5" t="n">
        <v>46185</v>
      </c>
      <c r="K159" s="2"/>
      <c r="L159" s="3" t="n">
        <v>51</v>
      </c>
      <c r="M159" s="3"/>
      <c r="N159" s="3"/>
      <c r="O159" s="3" t="n">
        <v>51</v>
      </c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3" t="n">
        <v>1442301</v>
      </c>
      <c r="AC159" s="2" t="s">
        <v>66</v>
      </c>
      <c r="AD159" s="2" t="s">
        <v>67</v>
      </c>
      <c r="AE159" s="2" t="s">
        <v>37</v>
      </c>
    </row>
    <row r="160" customFormat="false" ht="15" hidden="false" customHeight="false" outlineLevel="0" collapsed="false">
      <c r="A160" s="2" t="s">
        <v>240</v>
      </c>
      <c r="B160" s="2" t="s">
        <v>241</v>
      </c>
      <c r="C160" s="3" t="n">
        <v>51</v>
      </c>
      <c r="D160" s="2" t="s">
        <v>63</v>
      </c>
      <c r="E160" s="2" t="s">
        <v>64</v>
      </c>
      <c r="F160" s="3" t="n">
        <v>100</v>
      </c>
      <c r="G160" s="2" t="s">
        <v>65</v>
      </c>
      <c r="H160" s="4" t="n">
        <v>1465.2</v>
      </c>
      <c r="I160" s="4" t="n">
        <v>1465.2</v>
      </c>
      <c r="J160" s="2"/>
      <c r="K160" s="5" t="n">
        <v>46192</v>
      </c>
      <c r="L160" s="3"/>
      <c r="M160" s="3"/>
      <c r="N160" s="3" t="n">
        <v>2</v>
      </c>
      <c r="O160" s="3" t="n">
        <v>49</v>
      </c>
      <c r="P160" s="2" t="s">
        <v>82</v>
      </c>
      <c r="Q160" s="2" t="s">
        <v>83</v>
      </c>
      <c r="R160" s="2" t="s">
        <v>84</v>
      </c>
      <c r="S160" s="5" t="n">
        <v>46192</v>
      </c>
      <c r="T160" s="2" t="s">
        <v>51</v>
      </c>
      <c r="U160" s="5" t="n">
        <v>46192</v>
      </c>
      <c r="V160" s="2"/>
      <c r="W160" s="2"/>
      <c r="X160" s="2"/>
      <c r="Y160" s="2"/>
      <c r="Z160" s="2"/>
      <c r="AA160" s="2"/>
      <c r="AB160" s="3" t="n">
        <v>1442301</v>
      </c>
      <c r="AC160" s="2" t="s">
        <v>66</v>
      </c>
      <c r="AD160" s="2" t="s">
        <v>67</v>
      </c>
      <c r="AE160" s="2" t="s">
        <v>37</v>
      </c>
    </row>
    <row r="161" customFormat="false" ht="15" hidden="false" customHeight="false" outlineLevel="0" collapsed="false">
      <c r="A161" s="2" t="s">
        <v>240</v>
      </c>
      <c r="B161" s="2" t="s">
        <v>241</v>
      </c>
      <c r="C161" s="3" t="n">
        <v>51</v>
      </c>
      <c r="D161" s="2" t="s">
        <v>63</v>
      </c>
      <c r="E161" s="2" t="s">
        <v>64</v>
      </c>
      <c r="F161" s="3" t="n">
        <v>100</v>
      </c>
      <c r="G161" s="2" t="s">
        <v>65</v>
      </c>
      <c r="H161" s="4" t="n">
        <v>1465.2</v>
      </c>
      <c r="I161" s="4" t="n">
        <v>1465.2</v>
      </c>
      <c r="J161" s="2"/>
      <c r="K161" s="5" t="n">
        <v>46192</v>
      </c>
      <c r="L161" s="3"/>
      <c r="M161" s="3"/>
      <c r="N161" s="3" t="n">
        <v>1</v>
      </c>
      <c r="O161" s="3" t="n">
        <v>48</v>
      </c>
      <c r="P161" s="2"/>
      <c r="Q161" s="2" t="s">
        <v>68</v>
      </c>
      <c r="R161" s="2" t="s">
        <v>69</v>
      </c>
      <c r="S161" s="5" t="n">
        <v>46192</v>
      </c>
      <c r="T161" s="2" t="s">
        <v>51</v>
      </c>
      <c r="U161" s="5" t="n">
        <v>46192</v>
      </c>
      <c r="V161" s="2"/>
      <c r="W161" s="2" t="s">
        <v>70</v>
      </c>
      <c r="X161" s="2"/>
      <c r="Y161" s="2"/>
      <c r="Z161" s="2"/>
      <c r="AA161" s="2"/>
      <c r="AB161" s="3" t="n">
        <v>1442301</v>
      </c>
      <c r="AC161" s="2" t="s">
        <v>66</v>
      </c>
      <c r="AD161" s="2" t="s">
        <v>67</v>
      </c>
      <c r="AE161" s="2" t="s">
        <v>37</v>
      </c>
    </row>
    <row r="162" customFormat="false" ht="15" hidden="false" customHeight="false" outlineLevel="0" collapsed="false">
      <c r="A162" s="2" t="s">
        <v>240</v>
      </c>
      <c r="B162" s="2" t="s">
        <v>241</v>
      </c>
      <c r="C162" s="3" t="n">
        <v>51</v>
      </c>
      <c r="D162" s="2" t="s">
        <v>63</v>
      </c>
      <c r="E162" s="2" t="s">
        <v>64</v>
      </c>
      <c r="F162" s="3" t="n">
        <v>100</v>
      </c>
      <c r="G162" s="2" t="s">
        <v>65</v>
      </c>
      <c r="H162" s="4" t="n">
        <v>1465.2</v>
      </c>
      <c r="I162" s="4" t="n">
        <v>1465.2</v>
      </c>
      <c r="J162" s="2"/>
      <c r="K162" s="5" t="n">
        <v>46209</v>
      </c>
      <c r="L162" s="3"/>
      <c r="M162" s="3"/>
      <c r="N162" s="3" t="n">
        <v>2</v>
      </c>
      <c r="O162" s="3" t="n">
        <v>46</v>
      </c>
      <c r="P162" s="2" t="s">
        <v>138</v>
      </c>
      <c r="Q162" s="2" t="s">
        <v>139</v>
      </c>
      <c r="R162" s="2" t="s">
        <v>140</v>
      </c>
      <c r="S162" s="5" t="n">
        <v>46209</v>
      </c>
      <c r="T162" s="2" t="s">
        <v>55</v>
      </c>
      <c r="U162" s="5" t="n">
        <v>46212</v>
      </c>
      <c r="V162" s="2" t="s">
        <v>141</v>
      </c>
      <c r="W162" s="2" t="s">
        <v>142</v>
      </c>
      <c r="X162" s="2"/>
      <c r="Y162" s="2"/>
      <c r="Z162" s="2"/>
      <c r="AA162" s="2"/>
      <c r="AB162" s="3" t="n">
        <v>1442301</v>
      </c>
      <c r="AC162" s="2" t="s">
        <v>66</v>
      </c>
      <c r="AD162" s="2" t="s">
        <v>67</v>
      </c>
      <c r="AE162" s="2" t="s">
        <v>37</v>
      </c>
    </row>
    <row r="163" customFormat="false" ht="15" hidden="false" customHeight="false" outlineLevel="0" collapsed="false">
      <c r="A163" s="2" t="s">
        <v>240</v>
      </c>
      <c r="B163" s="2" t="s">
        <v>241</v>
      </c>
      <c r="C163" s="3" t="n">
        <v>51</v>
      </c>
      <c r="D163" s="2" t="s">
        <v>63</v>
      </c>
      <c r="E163" s="2" t="s">
        <v>64</v>
      </c>
      <c r="F163" s="3" t="n">
        <v>100</v>
      </c>
      <c r="G163" s="2" t="s">
        <v>65</v>
      </c>
      <c r="H163" s="4" t="n">
        <v>1465.2</v>
      </c>
      <c r="I163" s="4" t="n">
        <v>1465.2</v>
      </c>
      <c r="J163" s="2"/>
      <c r="K163" s="5" t="n">
        <v>46205</v>
      </c>
      <c r="L163" s="3"/>
      <c r="M163" s="3"/>
      <c r="N163" s="3" t="n">
        <v>1</v>
      </c>
      <c r="O163" s="3" t="n">
        <v>45</v>
      </c>
      <c r="P163" s="2" t="s">
        <v>85</v>
      </c>
      <c r="Q163" s="2" t="s">
        <v>86</v>
      </c>
      <c r="R163" s="2" t="s">
        <v>87</v>
      </c>
      <c r="S163" s="5" t="n">
        <v>46209</v>
      </c>
      <c r="T163" s="2" t="s">
        <v>51</v>
      </c>
      <c r="U163" s="5" t="n">
        <v>46212</v>
      </c>
      <c r="V163" s="2" t="s">
        <v>88</v>
      </c>
      <c r="W163" s="2" t="s">
        <v>201</v>
      </c>
      <c r="X163" s="2"/>
      <c r="Y163" s="2"/>
      <c r="Z163" s="2"/>
      <c r="AA163" s="2"/>
      <c r="AB163" s="3" t="n">
        <v>1442301</v>
      </c>
      <c r="AC163" s="2" t="s">
        <v>66</v>
      </c>
      <c r="AD163" s="2" t="s">
        <v>67</v>
      </c>
      <c r="AE163" s="2" t="s">
        <v>37</v>
      </c>
    </row>
    <row r="164" customFormat="false" ht="15" hidden="false" customHeight="false" outlineLevel="0" collapsed="false">
      <c r="A164" s="2" t="s">
        <v>240</v>
      </c>
      <c r="B164" s="2" t="s">
        <v>241</v>
      </c>
      <c r="C164" s="3" t="n">
        <v>51</v>
      </c>
      <c r="D164" s="2" t="s">
        <v>63</v>
      </c>
      <c r="E164" s="2" t="s">
        <v>64</v>
      </c>
      <c r="F164" s="3" t="n">
        <v>100</v>
      </c>
      <c r="G164" s="2" t="s">
        <v>65</v>
      </c>
      <c r="H164" s="4" t="n">
        <v>1465.2</v>
      </c>
      <c r="I164" s="4" t="n">
        <v>1465.2</v>
      </c>
      <c r="J164" s="2"/>
      <c r="K164" s="5" t="n">
        <v>46213</v>
      </c>
      <c r="L164" s="3"/>
      <c r="M164" s="3"/>
      <c r="N164" s="3" t="n">
        <v>1</v>
      </c>
      <c r="O164" s="3" t="n">
        <v>44</v>
      </c>
      <c r="P164" s="2" t="s">
        <v>162</v>
      </c>
      <c r="Q164" s="2" t="s">
        <v>163</v>
      </c>
      <c r="R164" s="2" t="s">
        <v>164</v>
      </c>
      <c r="S164" s="5" t="n">
        <v>46213</v>
      </c>
      <c r="T164" s="2" t="s">
        <v>51</v>
      </c>
      <c r="U164" s="5" t="n">
        <v>46213</v>
      </c>
      <c r="V164" s="2" t="s">
        <v>165</v>
      </c>
      <c r="W164" s="2" t="s">
        <v>166</v>
      </c>
      <c r="X164" s="2"/>
      <c r="Y164" s="2"/>
      <c r="Z164" s="2"/>
      <c r="AA164" s="2"/>
      <c r="AB164" s="3" t="n">
        <v>1442301</v>
      </c>
      <c r="AC164" s="2" t="s">
        <v>66</v>
      </c>
      <c r="AD164" s="2" t="s">
        <v>67</v>
      </c>
      <c r="AE164" s="2" t="s">
        <v>37</v>
      </c>
    </row>
    <row r="165" customFormat="false" ht="15" hidden="false" customHeight="false" outlineLevel="0" collapsed="false">
      <c r="A165" s="2" t="s">
        <v>242</v>
      </c>
      <c r="B165" s="2" t="s">
        <v>243</v>
      </c>
      <c r="C165" s="3" t="n">
        <v>49</v>
      </c>
      <c r="D165" s="2" t="s">
        <v>63</v>
      </c>
      <c r="E165" s="2" t="s">
        <v>64</v>
      </c>
      <c r="F165" s="3" t="n">
        <v>100</v>
      </c>
      <c r="G165" s="2" t="s">
        <v>73</v>
      </c>
      <c r="H165" s="4" t="n">
        <v>210.9</v>
      </c>
      <c r="I165" s="4" t="n">
        <v>210.9</v>
      </c>
      <c r="J165" s="5" t="n">
        <v>46185</v>
      </c>
      <c r="K165" s="2"/>
      <c r="L165" s="3" t="n">
        <v>49</v>
      </c>
      <c r="M165" s="3"/>
      <c r="N165" s="3"/>
      <c r="O165" s="3" t="n">
        <v>49</v>
      </c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3" t="n">
        <v>1442301</v>
      </c>
      <c r="AC165" s="2" t="s">
        <v>66</v>
      </c>
      <c r="AD165" s="2" t="s">
        <v>67</v>
      </c>
      <c r="AE165" s="2" t="s">
        <v>37</v>
      </c>
    </row>
    <row r="166" customFormat="false" ht="15" hidden="false" customHeight="false" outlineLevel="0" collapsed="false">
      <c r="A166" s="2" t="s">
        <v>242</v>
      </c>
      <c r="B166" s="2" t="s">
        <v>243</v>
      </c>
      <c r="C166" s="3" t="n">
        <v>49</v>
      </c>
      <c r="D166" s="2" t="s">
        <v>63</v>
      </c>
      <c r="E166" s="2" t="s">
        <v>64</v>
      </c>
      <c r="F166" s="3" t="n">
        <v>100</v>
      </c>
      <c r="G166" s="2" t="s">
        <v>73</v>
      </c>
      <c r="H166" s="4" t="n">
        <v>210.9</v>
      </c>
      <c r="I166" s="4" t="n">
        <v>210.9</v>
      </c>
      <c r="J166" s="2"/>
      <c r="K166" s="5" t="n">
        <v>46188</v>
      </c>
      <c r="L166" s="3"/>
      <c r="M166" s="3"/>
      <c r="N166" s="3" t="n">
        <v>1</v>
      </c>
      <c r="O166" s="3" t="n">
        <v>48</v>
      </c>
      <c r="P166" s="2" t="s">
        <v>108</v>
      </c>
      <c r="Q166" s="2" t="s">
        <v>109</v>
      </c>
      <c r="R166" s="2" t="s">
        <v>110</v>
      </c>
      <c r="S166" s="5" t="n">
        <v>46191</v>
      </c>
      <c r="T166" s="2" t="s">
        <v>55</v>
      </c>
      <c r="U166" s="5" t="n">
        <v>46192</v>
      </c>
      <c r="V166" s="2" t="s">
        <v>111</v>
      </c>
      <c r="W166" s="2" t="s">
        <v>112</v>
      </c>
      <c r="X166" s="2"/>
      <c r="Y166" s="2"/>
      <c r="Z166" s="2"/>
      <c r="AA166" s="2"/>
      <c r="AB166" s="3" t="n">
        <v>1442301</v>
      </c>
      <c r="AC166" s="2" t="s">
        <v>66</v>
      </c>
      <c r="AD166" s="2" t="s">
        <v>67</v>
      </c>
      <c r="AE166" s="2" t="s">
        <v>37</v>
      </c>
    </row>
    <row r="167" customFormat="false" ht="15" hidden="false" customHeight="false" outlineLevel="0" collapsed="false">
      <c r="A167" s="2" t="s">
        <v>242</v>
      </c>
      <c r="B167" s="2" t="s">
        <v>243</v>
      </c>
      <c r="C167" s="3" t="n">
        <v>49</v>
      </c>
      <c r="D167" s="2" t="s">
        <v>63</v>
      </c>
      <c r="E167" s="2" t="s">
        <v>64</v>
      </c>
      <c r="F167" s="3" t="n">
        <v>100</v>
      </c>
      <c r="G167" s="2" t="s">
        <v>73</v>
      </c>
      <c r="H167" s="4" t="n">
        <v>210.9</v>
      </c>
      <c r="I167" s="4" t="n">
        <v>210.9</v>
      </c>
      <c r="J167" s="2"/>
      <c r="K167" s="5" t="n">
        <v>46192</v>
      </c>
      <c r="L167" s="3"/>
      <c r="M167" s="3"/>
      <c r="N167" s="3" t="n">
        <v>3</v>
      </c>
      <c r="O167" s="3" t="n">
        <v>45</v>
      </c>
      <c r="P167" s="2"/>
      <c r="Q167" s="2" t="s">
        <v>68</v>
      </c>
      <c r="R167" s="2" t="s">
        <v>69</v>
      </c>
      <c r="S167" s="5" t="n">
        <v>46192</v>
      </c>
      <c r="T167" s="2" t="s">
        <v>51</v>
      </c>
      <c r="U167" s="5" t="n">
        <v>46192</v>
      </c>
      <c r="V167" s="2"/>
      <c r="W167" s="2" t="s">
        <v>70</v>
      </c>
      <c r="X167" s="2"/>
      <c r="Y167" s="2"/>
      <c r="Z167" s="2"/>
      <c r="AA167" s="2"/>
      <c r="AB167" s="3" t="n">
        <v>1442301</v>
      </c>
      <c r="AC167" s="2" t="s">
        <v>66</v>
      </c>
      <c r="AD167" s="2" t="s">
        <v>67</v>
      </c>
      <c r="AE167" s="2" t="s">
        <v>37</v>
      </c>
    </row>
    <row r="168" customFormat="false" ht="15" hidden="false" customHeight="false" outlineLevel="0" collapsed="false">
      <c r="A168" s="2" t="s">
        <v>242</v>
      </c>
      <c r="B168" s="2" t="s">
        <v>244</v>
      </c>
      <c r="C168" s="3" t="n">
        <v>49</v>
      </c>
      <c r="D168" s="2" t="s">
        <v>63</v>
      </c>
      <c r="E168" s="2" t="s">
        <v>64</v>
      </c>
      <c r="F168" s="3" t="n">
        <v>100</v>
      </c>
      <c r="G168" s="2" t="s">
        <v>73</v>
      </c>
      <c r="H168" s="4" t="n">
        <v>210.9</v>
      </c>
      <c r="I168" s="4" t="n">
        <v>210.9</v>
      </c>
      <c r="J168" s="5" t="n">
        <v>46185</v>
      </c>
      <c r="K168" s="2"/>
      <c r="L168" s="3" t="n">
        <v>2</v>
      </c>
      <c r="M168" s="3"/>
      <c r="N168" s="3"/>
      <c r="O168" s="3" t="n">
        <v>2</v>
      </c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3" t="n">
        <v>1442301</v>
      </c>
      <c r="AC168" s="2" t="s">
        <v>66</v>
      </c>
      <c r="AD168" s="2" t="s">
        <v>67</v>
      </c>
      <c r="AE168" s="2" t="s">
        <v>37</v>
      </c>
    </row>
    <row r="169" customFormat="false" ht="15" hidden="false" customHeight="false" outlineLevel="0" collapsed="false">
      <c r="A169" s="2" t="s">
        <v>245</v>
      </c>
      <c r="B169" s="2" t="s">
        <v>246</v>
      </c>
      <c r="C169" s="3" t="n">
        <v>150</v>
      </c>
      <c r="D169" s="2" t="s">
        <v>63</v>
      </c>
      <c r="E169" s="2" t="s">
        <v>64</v>
      </c>
      <c r="F169" s="3" t="n">
        <v>100</v>
      </c>
      <c r="G169" s="2" t="s">
        <v>73</v>
      </c>
      <c r="H169" s="4" t="n">
        <v>349.65</v>
      </c>
      <c r="I169" s="4" t="n">
        <v>349.65</v>
      </c>
      <c r="J169" s="5" t="n">
        <v>46185</v>
      </c>
      <c r="K169" s="2"/>
      <c r="L169" s="3" t="n">
        <v>150</v>
      </c>
      <c r="M169" s="3"/>
      <c r="N169" s="3"/>
      <c r="O169" s="3" t="n">
        <v>150</v>
      </c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3" t="n">
        <v>1442301</v>
      </c>
      <c r="AC169" s="2" t="s">
        <v>66</v>
      </c>
      <c r="AD169" s="2" t="s">
        <v>67</v>
      </c>
      <c r="AE169" s="2" t="s">
        <v>37</v>
      </c>
    </row>
    <row r="170" customFormat="false" ht="15" hidden="false" customHeight="false" outlineLevel="0" collapsed="false">
      <c r="A170" s="2" t="s">
        <v>245</v>
      </c>
      <c r="B170" s="2" t="s">
        <v>246</v>
      </c>
      <c r="C170" s="3" t="n">
        <v>150</v>
      </c>
      <c r="D170" s="2" t="s">
        <v>63</v>
      </c>
      <c r="E170" s="2" t="s">
        <v>64</v>
      </c>
      <c r="F170" s="3" t="n">
        <v>100</v>
      </c>
      <c r="G170" s="2" t="s">
        <v>73</v>
      </c>
      <c r="H170" s="4" t="n">
        <v>349.65</v>
      </c>
      <c r="I170" s="4" t="n">
        <v>349.65</v>
      </c>
      <c r="J170" s="2"/>
      <c r="K170" s="5" t="n">
        <v>46188</v>
      </c>
      <c r="L170" s="3"/>
      <c r="M170" s="3"/>
      <c r="N170" s="3" t="n">
        <v>1</v>
      </c>
      <c r="O170" s="3" t="n">
        <v>149</v>
      </c>
      <c r="P170" s="2" t="s">
        <v>129</v>
      </c>
      <c r="Q170" s="2" t="s">
        <v>247</v>
      </c>
      <c r="R170" s="2" t="s">
        <v>131</v>
      </c>
      <c r="S170" s="5" t="n">
        <v>46190</v>
      </c>
      <c r="T170" s="2" t="s">
        <v>248</v>
      </c>
      <c r="U170" s="5" t="n">
        <v>46190</v>
      </c>
      <c r="V170" s="2"/>
      <c r="W170" s="2"/>
      <c r="X170" s="2"/>
      <c r="Y170" s="2"/>
      <c r="Z170" s="2"/>
      <c r="AA170" s="2"/>
      <c r="AB170" s="3" t="n">
        <v>1442301</v>
      </c>
      <c r="AC170" s="2" t="s">
        <v>66</v>
      </c>
      <c r="AD170" s="2" t="s">
        <v>67</v>
      </c>
      <c r="AE170" s="2" t="s">
        <v>37</v>
      </c>
    </row>
    <row r="171" customFormat="false" ht="15" hidden="false" customHeight="false" outlineLevel="0" collapsed="false">
      <c r="A171" s="2" t="s">
        <v>245</v>
      </c>
      <c r="B171" s="2" t="s">
        <v>246</v>
      </c>
      <c r="C171" s="3" t="n">
        <v>150</v>
      </c>
      <c r="D171" s="2" t="s">
        <v>63</v>
      </c>
      <c r="E171" s="2" t="s">
        <v>64</v>
      </c>
      <c r="F171" s="3" t="n">
        <v>100</v>
      </c>
      <c r="G171" s="2" t="s">
        <v>73</v>
      </c>
      <c r="H171" s="4" t="n">
        <v>349.65</v>
      </c>
      <c r="I171" s="4" t="n">
        <v>349.65</v>
      </c>
      <c r="J171" s="2"/>
      <c r="K171" s="5" t="n">
        <v>46188</v>
      </c>
      <c r="L171" s="3"/>
      <c r="M171" s="3"/>
      <c r="N171" s="3" t="n">
        <v>3</v>
      </c>
      <c r="O171" s="3" t="n">
        <v>146</v>
      </c>
      <c r="P171" s="2" t="s">
        <v>123</v>
      </c>
      <c r="Q171" s="2" t="s">
        <v>124</v>
      </c>
      <c r="R171" s="2" t="s">
        <v>125</v>
      </c>
      <c r="S171" s="5" t="n">
        <v>46190</v>
      </c>
      <c r="T171" s="2" t="s">
        <v>51</v>
      </c>
      <c r="U171" s="5" t="n">
        <v>46192</v>
      </c>
      <c r="V171" s="2"/>
      <c r="W171" s="2"/>
      <c r="X171" s="2"/>
      <c r="Y171" s="2"/>
      <c r="Z171" s="2"/>
      <c r="AA171" s="2"/>
      <c r="AB171" s="3" t="n">
        <v>1442301</v>
      </c>
      <c r="AC171" s="2" t="s">
        <v>66</v>
      </c>
      <c r="AD171" s="2" t="s">
        <v>67</v>
      </c>
      <c r="AE171" s="2" t="s">
        <v>37</v>
      </c>
    </row>
    <row r="172" customFormat="false" ht="15" hidden="false" customHeight="false" outlineLevel="0" collapsed="false">
      <c r="A172" s="2" t="s">
        <v>245</v>
      </c>
      <c r="B172" s="2" t="s">
        <v>246</v>
      </c>
      <c r="C172" s="3" t="n">
        <v>150</v>
      </c>
      <c r="D172" s="2" t="s">
        <v>63</v>
      </c>
      <c r="E172" s="2" t="s">
        <v>64</v>
      </c>
      <c r="F172" s="3" t="n">
        <v>100</v>
      </c>
      <c r="G172" s="2" t="s">
        <v>73</v>
      </c>
      <c r="H172" s="4" t="n">
        <v>349.65</v>
      </c>
      <c r="I172" s="4" t="n">
        <v>349.65</v>
      </c>
      <c r="J172" s="2"/>
      <c r="K172" s="5" t="n">
        <v>46191</v>
      </c>
      <c r="L172" s="3"/>
      <c r="M172" s="3"/>
      <c r="N172" s="3" t="n">
        <v>6</v>
      </c>
      <c r="O172" s="3" t="n">
        <v>140</v>
      </c>
      <c r="P172" s="2" t="s">
        <v>132</v>
      </c>
      <c r="Q172" s="2" t="s">
        <v>133</v>
      </c>
      <c r="R172" s="2" t="s">
        <v>134</v>
      </c>
      <c r="S172" s="5" t="n">
        <v>46191</v>
      </c>
      <c r="T172" s="2" t="s">
        <v>51</v>
      </c>
      <c r="U172" s="5" t="n">
        <v>46195</v>
      </c>
      <c r="V172" s="2"/>
      <c r="W172" s="2"/>
      <c r="X172" s="2"/>
      <c r="Y172" s="2"/>
      <c r="Z172" s="2"/>
      <c r="AA172" s="2"/>
      <c r="AB172" s="3" t="n">
        <v>1442301</v>
      </c>
      <c r="AC172" s="2" t="s">
        <v>66</v>
      </c>
      <c r="AD172" s="2" t="s">
        <v>67</v>
      </c>
      <c r="AE172" s="2" t="s">
        <v>37</v>
      </c>
    </row>
    <row r="173" customFormat="false" ht="15" hidden="false" customHeight="false" outlineLevel="0" collapsed="false">
      <c r="A173" s="2" t="s">
        <v>245</v>
      </c>
      <c r="B173" s="2" t="s">
        <v>246</v>
      </c>
      <c r="C173" s="3" t="n">
        <v>150</v>
      </c>
      <c r="D173" s="2" t="s">
        <v>63</v>
      </c>
      <c r="E173" s="2" t="s">
        <v>64</v>
      </c>
      <c r="F173" s="3" t="n">
        <v>100</v>
      </c>
      <c r="G173" s="2" t="s">
        <v>73</v>
      </c>
      <c r="H173" s="4" t="n">
        <v>349.65</v>
      </c>
      <c r="I173" s="4" t="n">
        <v>349.65</v>
      </c>
      <c r="J173" s="2"/>
      <c r="K173" s="5" t="n">
        <v>46191</v>
      </c>
      <c r="L173" s="3"/>
      <c r="M173" s="3"/>
      <c r="N173" s="3" t="n">
        <v>3</v>
      </c>
      <c r="O173" s="3" t="n">
        <v>137</v>
      </c>
      <c r="P173" s="2" t="s">
        <v>135</v>
      </c>
      <c r="Q173" s="2" t="s">
        <v>136</v>
      </c>
      <c r="R173" s="2" t="s">
        <v>137</v>
      </c>
      <c r="S173" s="5" t="n">
        <v>46191</v>
      </c>
      <c r="T173" s="2" t="s">
        <v>51</v>
      </c>
      <c r="U173" s="5" t="n">
        <v>46196</v>
      </c>
      <c r="V173" s="2"/>
      <c r="W173" s="2"/>
      <c r="X173" s="2"/>
      <c r="Y173" s="2"/>
      <c r="Z173" s="2"/>
      <c r="AA173" s="2"/>
      <c r="AB173" s="3" t="n">
        <v>1442301</v>
      </c>
      <c r="AC173" s="2" t="s">
        <v>66</v>
      </c>
      <c r="AD173" s="2" t="s">
        <v>67</v>
      </c>
      <c r="AE173" s="2" t="s">
        <v>37</v>
      </c>
    </row>
    <row r="174" customFormat="false" ht="15" hidden="false" customHeight="false" outlineLevel="0" collapsed="false">
      <c r="A174" s="2" t="s">
        <v>245</v>
      </c>
      <c r="B174" s="2" t="s">
        <v>246</v>
      </c>
      <c r="C174" s="3" t="n">
        <v>150</v>
      </c>
      <c r="D174" s="2" t="s">
        <v>63</v>
      </c>
      <c r="E174" s="2" t="s">
        <v>64</v>
      </c>
      <c r="F174" s="3" t="n">
        <v>100</v>
      </c>
      <c r="G174" s="2" t="s">
        <v>73</v>
      </c>
      <c r="H174" s="4" t="n">
        <v>349.65</v>
      </c>
      <c r="I174" s="4" t="n">
        <v>349.65</v>
      </c>
      <c r="J174" s="2"/>
      <c r="K174" s="5" t="n">
        <v>46191</v>
      </c>
      <c r="L174" s="3"/>
      <c r="M174" s="3"/>
      <c r="N174" s="3" t="n">
        <v>2</v>
      </c>
      <c r="O174" s="3" t="n">
        <v>135</v>
      </c>
      <c r="P174" s="2" t="s">
        <v>159</v>
      </c>
      <c r="Q174" s="2" t="s">
        <v>160</v>
      </c>
      <c r="R174" s="2" t="s">
        <v>161</v>
      </c>
      <c r="S174" s="5" t="n">
        <v>46191</v>
      </c>
      <c r="T174" s="2" t="s">
        <v>55</v>
      </c>
      <c r="U174" s="5" t="n">
        <v>46191</v>
      </c>
      <c r="V174" s="2"/>
      <c r="W174" s="2"/>
      <c r="X174" s="2"/>
      <c r="Y174" s="2"/>
      <c r="Z174" s="2"/>
      <c r="AA174" s="2"/>
      <c r="AB174" s="3" t="n">
        <v>1442301</v>
      </c>
      <c r="AC174" s="2" t="s">
        <v>66</v>
      </c>
      <c r="AD174" s="2" t="s">
        <v>67</v>
      </c>
      <c r="AE174" s="2" t="s">
        <v>37</v>
      </c>
    </row>
    <row r="175" customFormat="false" ht="15" hidden="false" customHeight="false" outlineLevel="0" collapsed="false">
      <c r="A175" s="2" t="s">
        <v>245</v>
      </c>
      <c r="B175" s="2" t="s">
        <v>246</v>
      </c>
      <c r="C175" s="3" t="n">
        <v>150</v>
      </c>
      <c r="D175" s="2" t="s">
        <v>63</v>
      </c>
      <c r="E175" s="2" t="s">
        <v>64</v>
      </c>
      <c r="F175" s="3" t="n">
        <v>100</v>
      </c>
      <c r="G175" s="2" t="s">
        <v>73</v>
      </c>
      <c r="H175" s="4" t="n">
        <v>349.65</v>
      </c>
      <c r="I175" s="4" t="n">
        <v>349.65</v>
      </c>
      <c r="J175" s="2"/>
      <c r="K175" s="5" t="n">
        <v>46191</v>
      </c>
      <c r="L175" s="3"/>
      <c r="M175" s="3"/>
      <c r="N175" s="3" t="n">
        <v>2</v>
      </c>
      <c r="O175" s="3" t="n">
        <v>133</v>
      </c>
      <c r="P175" s="2" t="s">
        <v>90</v>
      </c>
      <c r="Q175" s="2" t="s">
        <v>91</v>
      </c>
      <c r="R175" s="2" t="s">
        <v>92</v>
      </c>
      <c r="S175" s="5" t="n">
        <v>46191</v>
      </c>
      <c r="T175" s="2" t="s">
        <v>55</v>
      </c>
      <c r="U175" s="5" t="n">
        <v>46199</v>
      </c>
      <c r="V175" s="2"/>
      <c r="W175" s="2"/>
      <c r="X175" s="2"/>
      <c r="Y175" s="2"/>
      <c r="Z175" s="2"/>
      <c r="AA175" s="2"/>
      <c r="AB175" s="3" t="n">
        <v>1442301</v>
      </c>
      <c r="AC175" s="2" t="s">
        <v>66</v>
      </c>
      <c r="AD175" s="2" t="s">
        <v>67</v>
      </c>
      <c r="AE175" s="2" t="s">
        <v>37</v>
      </c>
    </row>
    <row r="176" customFormat="false" ht="15" hidden="false" customHeight="false" outlineLevel="0" collapsed="false">
      <c r="A176" s="2" t="s">
        <v>245</v>
      </c>
      <c r="B176" s="2" t="s">
        <v>246</v>
      </c>
      <c r="C176" s="3" t="n">
        <v>150</v>
      </c>
      <c r="D176" s="2" t="s">
        <v>63</v>
      </c>
      <c r="E176" s="2" t="s">
        <v>64</v>
      </c>
      <c r="F176" s="3" t="n">
        <v>100</v>
      </c>
      <c r="G176" s="2" t="s">
        <v>73</v>
      </c>
      <c r="H176" s="4" t="n">
        <v>349.65</v>
      </c>
      <c r="I176" s="4" t="n">
        <v>349.65</v>
      </c>
      <c r="J176" s="2"/>
      <c r="K176" s="5" t="n">
        <v>46192</v>
      </c>
      <c r="L176" s="3"/>
      <c r="M176" s="3"/>
      <c r="N176" s="3" t="n">
        <v>3</v>
      </c>
      <c r="O176" s="3" t="n">
        <v>130</v>
      </c>
      <c r="P176" s="2"/>
      <c r="Q176" s="2" t="s">
        <v>68</v>
      </c>
      <c r="R176" s="2" t="s">
        <v>69</v>
      </c>
      <c r="S176" s="5" t="n">
        <v>46192</v>
      </c>
      <c r="T176" s="2" t="s">
        <v>51</v>
      </c>
      <c r="U176" s="5" t="n">
        <v>46192</v>
      </c>
      <c r="V176" s="2"/>
      <c r="W176" s="2" t="s">
        <v>70</v>
      </c>
      <c r="X176" s="2"/>
      <c r="Y176" s="2"/>
      <c r="Z176" s="2"/>
      <c r="AA176" s="2"/>
      <c r="AB176" s="3" t="n">
        <v>1442301</v>
      </c>
      <c r="AC176" s="2" t="s">
        <v>66</v>
      </c>
      <c r="AD176" s="2" t="s">
        <v>67</v>
      </c>
      <c r="AE176" s="2" t="s">
        <v>37</v>
      </c>
    </row>
    <row r="177" customFormat="false" ht="15" hidden="false" customHeight="false" outlineLevel="0" collapsed="false">
      <c r="A177" s="2" t="s">
        <v>245</v>
      </c>
      <c r="B177" s="2" t="s">
        <v>246</v>
      </c>
      <c r="C177" s="3" t="n">
        <v>150</v>
      </c>
      <c r="D177" s="2" t="s">
        <v>63</v>
      </c>
      <c r="E177" s="2" t="s">
        <v>64</v>
      </c>
      <c r="F177" s="3" t="n">
        <v>100</v>
      </c>
      <c r="G177" s="2" t="s">
        <v>73</v>
      </c>
      <c r="H177" s="4" t="n">
        <v>349.65</v>
      </c>
      <c r="I177" s="4" t="n">
        <v>349.65</v>
      </c>
      <c r="J177" s="2"/>
      <c r="K177" s="5" t="n">
        <v>46198</v>
      </c>
      <c r="L177" s="3"/>
      <c r="M177" s="3"/>
      <c r="N177" s="3" t="n">
        <v>3</v>
      </c>
      <c r="O177" s="3" t="n">
        <v>127</v>
      </c>
      <c r="P177" s="2" t="s">
        <v>249</v>
      </c>
      <c r="Q177" s="2" t="s">
        <v>250</v>
      </c>
      <c r="R177" s="2" t="s">
        <v>164</v>
      </c>
      <c r="S177" s="5" t="n">
        <v>46198</v>
      </c>
      <c r="T177" s="2" t="s">
        <v>51</v>
      </c>
      <c r="U177" s="5" t="n">
        <v>46198</v>
      </c>
      <c r="V177" s="2"/>
      <c r="W177" s="2"/>
      <c r="X177" s="2"/>
      <c r="Y177" s="2"/>
      <c r="Z177" s="2"/>
      <c r="AA177" s="2"/>
      <c r="AB177" s="3" t="n">
        <v>1442301</v>
      </c>
      <c r="AC177" s="2" t="s">
        <v>66</v>
      </c>
      <c r="AD177" s="2" t="s">
        <v>67</v>
      </c>
      <c r="AE177" s="2" t="s">
        <v>37</v>
      </c>
    </row>
    <row r="178" customFormat="false" ht="15" hidden="false" customHeight="false" outlineLevel="0" collapsed="false">
      <c r="A178" s="2" t="s">
        <v>245</v>
      </c>
      <c r="B178" s="2" t="s">
        <v>246</v>
      </c>
      <c r="C178" s="3" t="n">
        <v>150</v>
      </c>
      <c r="D178" s="2" t="s">
        <v>63</v>
      </c>
      <c r="E178" s="2" t="s">
        <v>64</v>
      </c>
      <c r="F178" s="3" t="n">
        <v>100</v>
      </c>
      <c r="G178" s="2" t="s">
        <v>73</v>
      </c>
      <c r="H178" s="4" t="n">
        <v>349.65</v>
      </c>
      <c r="I178" s="4" t="n">
        <v>349.65</v>
      </c>
      <c r="J178" s="2"/>
      <c r="K178" s="5" t="n">
        <v>46209</v>
      </c>
      <c r="L178" s="3"/>
      <c r="M178" s="3"/>
      <c r="N178" s="3" t="n">
        <v>10</v>
      </c>
      <c r="O178" s="3" t="n">
        <v>117</v>
      </c>
      <c r="P178" s="2" t="s">
        <v>138</v>
      </c>
      <c r="Q178" s="2" t="s">
        <v>139</v>
      </c>
      <c r="R178" s="2" t="s">
        <v>140</v>
      </c>
      <c r="S178" s="5" t="n">
        <v>46209</v>
      </c>
      <c r="T178" s="2" t="s">
        <v>55</v>
      </c>
      <c r="U178" s="5" t="n">
        <v>46212</v>
      </c>
      <c r="V178" s="2" t="s">
        <v>141</v>
      </c>
      <c r="W178" s="2" t="s">
        <v>142</v>
      </c>
      <c r="X178" s="2"/>
      <c r="Y178" s="2"/>
      <c r="Z178" s="2"/>
      <c r="AA178" s="2"/>
      <c r="AB178" s="3" t="n">
        <v>1442301</v>
      </c>
      <c r="AC178" s="2" t="s">
        <v>66</v>
      </c>
      <c r="AD178" s="2" t="s">
        <v>67</v>
      </c>
      <c r="AE178" s="2" t="s">
        <v>37</v>
      </c>
    </row>
    <row r="179" customFormat="false" ht="15" hidden="false" customHeight="false" outlineLevel="0" collapsed="false">
      <c r="A179" s="2" t="s">
        <v>245</v>
      </c>
      <c r="B179" s="2" t="s">
        <v>246</v>
      </c>
      <c r="C179" s="3" t="n">
        <v>150</v>
      </c>
      <c r="D179" s="2" t="s">
        <v>63</v>
      </c>
      <c r="E179" s="2" t="s">
        <v>64</v>
      </c>
      <c r="F179" s="3" t="n">
        <v>100</v>
      </c>
      <c r="G179" s="2" t="s">
        <v>73</v>
      </c>
      <c r="H179" s="4" t="n">
        <v>349.65</v>
      </c>
      <c r="I179" s="4" t="n">
        <v>349.65</v>
      </c>
      <c r="J179" s="2"/>
      <c r="K179" s="5" t="n">
        <v>46205</v>
      </c>
      <c r="L179" s="3"/>
      <c r="M179" s="3"/>
      <c r="N179" s="3" t="n">
        <v>9</v>
      </c>
      <c r="O179" s="3" t="n">
        <v>108</v>
      </c>
      <c r="P179" s="2" t="s">
        <v>85</v>
      </c>
      <c r="Q179" s="2" t="s">
        <v>86</v>
      </c>
      <c r="R179" s="2" t="s">
        <v>87</v>
      </c>
      <c r="S179" s="5" t="n">
        <v>46209</v>
      </c>
      <c r="T179" s="2" t="s">
        <v>51</v>
      </c>
      <c r="U179" s="5" t="n">
        <v>46212</v>
      </c>
      <c r="V179" s="2" t="s">
        <v>88</v>
      </c>
      <c r="W179" s="2" t="s">
        <v>89</v>
      </c>
      <c r="X179" s="2"/>
      <c r="Y179" s="2"/>
      <c r="Z179" s="2"/>
      <c r="AA179" s="2"/>
      <c r="AB179" s="3" t="n">
        <v>1442301</v>
      </c>
      <c r="AC179" s="2" t="s">
        <v>66</v>
      </c>
      <c r="AD179" s="2" t="s">
        <v>67</v>
      </c>
      <c r="AE179" s="2" t="s">
        <v>37</v>
      </c>
    </row>
    <row r="180" customFormat="false" ht="15" hidden="false" customHeight="false" outlineLevel="0" collapsed="false">
      <c r="A180" s="2" t="s">
        <v>245</v>
      </c>
      <c r="B180" s="2" t="s">
        <v>246</v>
      </c>
      <c r="C180" s="3" t="n">
        <v>150</v>
      </c>
      <c r="D180" s="2" t="s">
        <v>63</v>
      </c>
      <c r="E180" s="2" t="s">
        <v>64</v>
      </c>
      <c r="F180" s="3" t="n">
        <v>100</v>
      </c>
      <c r="G180" s="2" t="s">
        <v>73</v>
      </c>
      <c r="H180" s="4" t="n">
        <v>349.65</v>
      </c>
      <c r="I180" s="4" t="n">
        <v>349.65</v>
      </c>
      <c r="J180" s="2"/>
      <c r="K180" s="5" t="n">
        <v>46213</v>
      </c>
      <c r="L180" s="3"/>
      <c r="M180" s="3"/>
      <c r="N180" s="3" t="n">
        <v>7</v>
      </c>
      <c r="O180" s="3" t="n">
        <v>101</v>
      </c>
      <c r="P180" s="2" t="s">
        <v>162</v>
      </c>
      <c r="Q180" s="2" t="s">
        <v>163</v>
      </c>
      <c r="R180" s="2" t="s">
        <v>164</v>
      </c>
      <c r="S180" s="5" t="n">
        <v>46213</v>
      </c>
      <c r="T180" s="2" t="s">
        <v>55</v>
      </c>
      <c r="U180" s="5" t="n">
        <v>46213</v>
      </c>
      <c r="V180" s="2" t="s">
        <v>165</v>
      </c>
      <c r="W180" s="2" t="s">
        <v>251</v>
      </c>
      <c r="X180" s="2"/>
      <c r="Y180" s="2"/>
      <c r="Z180" s="2"/>
      <c r="AA180" s="2"/>
      <c r="AB180" s="3" t="n">
        <v>1442301</v>
      </c>
      <c r="AC180" s="2" t="s">
        <v>66</v>
      </c>
      <c r="AD180" s="2" t="s">
        <v>67</v>
      </c>
      <c r="AE180" s="2" t="s">
        <v>37</v>
      </c>
    </row>
    <row r="181" customFormat="false" ht="15" hidden="false" customHeight="false" outlineLevel="0" collapsed="false">
      <c r="A181" s="2" t="s">
        <v>252</v>
      </c>
      <c r="B181" s="2" t="s">
        <v>253</v>
      </c>
      <c r="C181" s="3" t="n">
        <v>144</v>
      </c>
      <c r="D181" s="2" t="s">
        <v>63</v>
      </c>
      <c r="E181" s="2" t="s">
        <v>64</v>
      </c>
      <c r="F181" s="3" t="n">
        <v>100</v>
      </c>
      <c r="G181" s="2" t="s">
        <v>73</v>
      </c>
      <c r="H181" s="4" t="n">
        <v>160.95</v>
      </c>
      <c r="I181" s="4" t="n">
        <v>160.95</v>
      </c>
      <c r="J181" s="5" t="n">
        <v>46185</v>
      </c>
      <c r="K181" s="2"/>
      <c r="L181" s="3" t="n">
        <v>144</v>
      </c>
      <c r="M181" s="3"/>
      <c r="N181" s="3"/>
      <c r="O181" s="3" t="n">
        <v>144</v>
      </c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3" t="n">
        <v>1442301</v>
      </c>
      <c r="AC181" s="2" t="s">
        <v>66</v>
      </c>
      <c r="AD181" s="2" t="s">
        <v>67</v>
      </c>
      <c r="AE181" s="2" t="s">
        <v>37</v>
      </c>
    </row>
    <row r="182" customFormat="false" ht="15" hidden="false" customHeight="false" outlineLevel="0" collapsed="false">
      <c r="A182" s="2" t="s">
        <v>252</v>
      </c>
      <c r="B182" s="2" t="s">
        <v>253</v>
      </c>
      <c r="C182" s="3" t="n">
        <v>144</v>
      </c>
      <c r="D182" s="2" t="s">
        <v>63</v>
      </c>
      <c r="E182" s="2" t="s">
        <v>64</v>
      </c>
      <c r="F182" s="3" t="n">
        <v>100</v>
      </c>
      <c r="G182" s="2" t="s">
        <v>73</v>
      </c>
      <c r="H182" s="4" t="n">
        <v>160.95</v>
      </c>
      <c r="I182" s="4" t="n">
        <v>160.95</v>
      </c>
      <c r="J182" s="2"/>
      <c r="K182" s="5" t="n">
        <v>46188</v>
      </c>
      <c r="L182" s="3"/>
      <c r="M182" s="3"/>
      <c r="N182" s="3" t="n">
        <v>1</v>
      </c>
      <c r="O182" s="3" t="n">
        <v>143</v>
      </c>
      <c r="P182" s="2" t="s">
        <v>108</v>
      </c>
      <c r="Q182" s="2" t="s">
        <v>109</v>
      </c>
      <c r="R182" s="2" t="s">
        <v>110</v>
      </c>
      <c r="S182" s="5" t="n">
        <v>46191</v>
      </c>
      <c r="T182" s="2" t="s">
        <v>55</v>
      </c>
      <c r="U182" s="5" t="n">
        <v>46192</v>
      </c>
      <c r="V182" s="2" t="s">
        <v>111</v>
      </c>
      <c r="W182" s="2" t="s">
        <v>112</v>
      </c>
      <c r="X182" s="2"/>
      <c r="Y182" s="2"/>
      <c r="Z182" s="2"/>
      <c r="AA182" s="2"/>
      <c r="AB182" s="3" t="n">
        <v>1442301</v>
      </c>
      <c r="AC182" s="2" t="s">
        <v>66</v>
      </c>
      <c r="AD182" s="2" t="s">
        <v>67</v>
      </c>
      <c r="AE182" s="2" t="s">
        <v>37</v>
      </c>
    </row>
    <row r="183" customFormat="false" ht="15" hidden="false" customHeight="false" outlineLevel="0" collapsed="false">
      <c r="A183" s="2" t="s">
        <v>252</v>
      </c>
      <c r="B183" s="2" t="s">
        <v>253</v>
      </c>
      <c r="C183" s="3" t="n">
        <v>144</v>
      </c>
      <c r="D183" s="2" t="s">
        <v>63</v>
      </c>
      <c r="E183" s="2" t="s">
        <v>64</v>
      </c>
      <c r="F183" s="3" t="n">
        <v>100</v>
      </c>
      <c r="G183" s="2" t="s">
        <v>73</v>
      </c>
      <c r="H183" s="4" t="n">
        <v>160.95</v>
      </c>
      <c r="I183" s="4" t="n">
        <v>160.95</v>
      </c>
      <c r="J183" s="2"/>
      <c r="K183" s="5" t="n">
        <v>46191</v>
      </c>
      <c r="L183" s="3"/>
      <c r="M183" s="3"/>
      <c r="N183" s="3" t="n">
        <v>4</v>
      </c>
      <c r="O183" s="3" t="n">
        <v>139</v>
      </c>
      <c r="P183" s="2" t="s">
        <v>132</v>
      </c>
      <c r="Q183" s="2" t="s">
        <v>133</v>
      </c>
      <c r="R183" s="2" t="s">
        <v>134</v>
      </c>
      <c r="S183" s="5" t="n">
        <v>46191</v>
      </c>
      <c r="T183" s="2" t="s">
        <v>51</v>
      </c>
      <c r="U183" s="5" t="n">
        <v>46195</v>
      </c>
      <c r="V183" s="2"/>
      <c r="W183" s="2"/>
      <c r="X183" s="2"/>
      <c r="Y183" s="2"/>
      <c r="Z183" s="2"/>
      <c r="AA183" s="2"/>
      <c r="AB183" s="3" t="n">
        <v>1442301</v>
      </c>
      <c r="AC183" s="2" t="s">
        <v>66</v>
      </c>
      <c r="AD183" s="2" t="s">
        <v>67</v>
      </c>
      <c r="AE183" s="2" t="s">
        <v>37</v>
      </c>
    </row>
    <row r="184" customFormat="false" ht="15" hidden="false" customHeight="false" outlineLevel="0" collapsed="false">
      <c r="A184" s="2" t="s">
        <v>252</v>
      </c>
      <c r="B184" s="2" t="s">
        <v>253</v>
      </c>
      <c r="C184" s="3" t="n">
        <v>144</v>
      </c>
      <c r="D184" s="2" t="s">
        <v>63</v>
      </c>
      <c r="E184" s="2" t="s">
        <v>64</v>
      </c>
      <c r="F184" s="3" t="n">
        <v>100</v>
      </c>
      <c r="G184" s="2" t="s">
        <v>73</v>
      </c>
      <c r="H184" s="4" t="n">
        <v>160.95</v>
      </c>
      <c r="I184" s="4" t="n">
        <v>160.95</v>
      </c>
      <c r="J184" s="2"/>
      <c r="K184" s="5" t="n">
        <v>46192</v>
      </c>
      <c r="L184" s="3"/>
      <c r="M184" s="3"/>
      <c r="N184" s="3" t="n">
        <v>1</v>
      </c>
      <c r="O184" s="3" t="n">
        <v>138</v>
      </c>
      <c r="P184" s="2"/>
      <c r="Q184" s="2" t="s">
        <v>68</v>
      </c>
      <c r="R184" s="2" t="s">
        <v>69</v>
      </c>
      <c r="S184" s="5" t="n">
        <v>46192</v>
      </c>
      <c r="T184" s="2" t="s">
        <v>51</v>
      </c>
      <c r="U184" s="5" t="n">
        <v>46192</v>
      </c>
      <c r="V184" s="2"/>
      <c r="W184" s="2" t="s">
        <v>70</v>
      </c>
      <c r="X184" s="2"/>
      <c r="Y184" s="2"/>
      <c r="Z184" s="2"/>
      <c r="AA184" s="2"/>
      <c r="AB184" s="3" t="n">
        <v>1442301</v>
      </c>
      <c r="AC184" s="2" t="s">
        <v>66</v>
      </c>
      <c r="AD184" s="2" t="s">
        <v>67</v>
      </c>
      <c r="AE184" s="2" t="s">
        <v>37</v>
      </c>
    </row>
    <row r="185" customFormat="false" ht="15" hidden="false" customHeight="false" outlineLevel="0" collapsed="false">
      <c r="A185" s="2" t="s">
        <v>252</v>
      </c>
      <c r="B185" s="2" t="s">
        <v>253</v>
      </c>
      <c r="C185" s="3" t="n">
        <v>144</v>
      </c>
      <c r="D185" s="2" t="s">
        <v>63</v>
      </c>
      <c r="E185" s="2" t="s">
        <v>64</v>
      </c>
      <c r="F185" s="3" t="n">
        <v>100</v>
      </c>
      <c r="G185" s="2" t="s">
        <v>73</v>
      </c>
      <c r="H185" s="4" t="n">
        <v>160.95</v>
      </c>
      <c r="I185" s="4" t="n">
        <v>160.95</v>
      </c>
      <c r="J185" s="2"/>
      <c r="K185" s="5" t="n">
        <v>46205</v>
      </c>
      <c r="L185" s="3"/>
      <c r="M185" s="3"/>
      <c r="N185" s="3" t="n">
        <v>2</v>
      </c>
      <c r="O185" s="3" t="n">
        <v>136</v>
      </c>
      <c r="P185" s="2" t="s">
        <v>85</v>
      </c>
      <c r="Q185" s="2" t="s">
        <v>86</v>
      </c>
      <c r="R185" s="2" t="s">
        <v>87</v>
      </c>
      <c r="S185" s="5" t="n">
        <v>46209</v>
      </c>
      <c r="T185" s="2" t="s">
        <v>51</v>
      </c>
      <c r="U185" s="5" t="n">
        <v>46212</v>
      </c>
      <c r="V185" s="2" t="s">
        <v>88</v>
      </c>
      <c r="W185" s="2" t="s">
        <v>89</v>
      </c>
      <c r="X185" s="2"/>
      <c r="Y185" s="2"/>
      <c r="Z185" s="2"/>
      <c r="AA185" s="2"/>
      <c r="AB185" s="3" t="n">
        <v>1442301</v>
      </c>
      <c r="AC185" s="2" t="s">
        <v>66</v>
      </c>
      <c r="AD185" s="2" t="s">
        <v>67</v>
      </c>
      <c r="AE185" s="2" t="s">
        <v>37</v>
      </c>
    </row>
    <row r="186" customFormat="false" ht="15" hidden="false" customHeight="false" outlineLevel="0" collapsed="false">
      <c r="A186" s="2" t="s">
        <v>252</v>
      </c>
      <c r="B186" s="2" t="s">
        <v>253</v>
      </c>
      <c r="C186" s="3" t="n">
        <v>144</v>
      </c>
      <c r="D186" s="2" t="s">
        <v>63</v>
      </c>
      <c r="E186" s="2" t="s">
        <v>64</v>
      </c>
      <c r="F186" s="3" t="n">
        <v>100</v>
      </c>
      <c r="G186" s="2" t="s">
        <v>73</v>
      </c>
      <c r="H186" s="4" t="n">
        <v>160.95</v>
      </c>
      <c r="I186" s="4" t="n">
        <v>160.95</v>
      </c>
      <c r="J186" s="5" t="n">
        <v>46185</v>
      </c>
      <c r="K186" s="2"/>
      <c r="L186" s="3" t="n">
        <v>1</v>
      </c>
      <c r="M186" s="3"/>
      <c r="N186" s="3"/>
      <c r="O186" s="3" t="n">
        <v>1</v>
      </c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3" t="n">
        <v>1442301</v>
      </c>
      <c r="AC186" s="2" t="s">
        <v>66</v>
      </c>
      <c r="AD186" s="2" t="s">
        <v>67</v>
      </c>
      <c r="AE186" s="2" t="s">
        <v>37</v>
      </c>
    </row>
    <row r="187" customFormat="false" ht="15" hidden="false" customHeight="false" outlineLevel="0" collapsed="false">
      <c r="A187" s="2" t="s">
        <v>254</v>
      </c>
      <c r="B187" s="2" t="s">
        <v>255</v>
      </c>
      <c r="C187" s="3" t="n">
        <v>183</v>
      </c>
      <c r="D187" s="2" t="s">
        <v>63</v>
      </c>
      <c r="E187" s="2" t="s">
        <v>64</v>
      </c>
      <c r="F187" s="3" t="n">
        <v>100</v>
      </c>
      <c r="G187" s="2" t="s">
        <v>73</v>
      </c>
      <c r="H187" s="4" t="n">
        <v>172.05</v>
      </c>
      <c r="I187" s="4" t="n">
        <v>172.05</v>
      </c>
      <c r="J187" s="5" t="n">
        <v>46185</v>
      </c>
      <c r="K187" s="2"/>
      <c r="L187" s="3" t="n">
        <v>183</v>
      </c>
      <c r="M187" s="3"/>
      <c r="N187" s="3"/>
      <c r="O187" s="3" t="n">
        <v>183</v>
      </c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3" t="n">
        <v>1442301</v>
      </c>
      <c r="AC187" s="2" t="s">
        <v>66</v>
      </c>
      <c r="AD187" s="2" t="s">
        <v>67</v>
      </c>
      <c r="AE187" s="2" t="s">
        <v>37</v>
      </c>
    </row>
    <row r="188" customFormat="false" ht="15" hidden="false" customHeight="false" outlineLevel="0" collapsed="false">
      <c r="A188" s="2" t="s">
        <v>256</v>
      </c>
      <c r="B188" s="2" t="s">
        <v>257</v>
      </c>
      <c r="C188" s="3" t="n">
        <v>111</v>
      </c>
      <c r="D188" s="2" t="s">
        <v>63</v>
      </c>
      <c r="E188" s="2" t="s">
        <v>64</v>
      </c>
      <c r="F188" s="3" t="n">
        <v>100</v>
      </c>
      <c r="G188" s="2" t="s">
        <v>73</v>
      </c>
      <c r="H188" s="4" t="n">
        <v>194.25</v>
      </c>
      <c r="I188" s="4" t="n">
        <v>194.25</v>
      </c>
      <c r="J188" s="5" t="n">
        <v>46185</v>
      </c>
      <c r="K188" s="2"/>
      <c r="L188" s="3" t="n">
        <v>111</v>
      </c>
      <c r="M188" s="3"/>
      <c r="N188" s="3"/>
      <c r="O188" s="3" t="n">
        <v>111</v>
      </c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3" t="n">
        <v>1442301</v>
      </c>
      <c r="AC188" s="2" t="s">
        <v>66</v>
      </c>
      <c r="AD188" s="2" t="s">
        <v>67</v>
      </c>
      <c r="AE188" s="2" t="s">
        <v>37</v>
      </c>
    </row>
    <row r="189" customFormat="false" ht="15" hidden="false" customHeight="false" outlineLevel="0" collapsed="false">
      <c r="A189" s="2" t="s">
        <v>258</v>
      </c>
      <c r="B189" s="2" t="s">
        <v>259</v>
      </c>
      <c r="C189" s="3" t="n">
        <v>199</v>
      </c>
      <c r="D189" s="2" t="s">
        <v>63</v>
      </c>
      <c r="E189" s="2" t="s">
        <v>64</v>
      </c>
      <c r="F189" s="3" t="n">
        <v>100</v>
      </c>
      <c r="G189" s="2" t="s">
        <v>65</v>
      </c>
      <c r="H189" s="4" t="n">
        <v>405.15</v>
      </c>
      <c r="I189" s="4" t="n">
        <v>405.15</v>
      </c>
      <c r="J189" s="5" t="n">
        <v>46185</v>
      </c>
      <c r="K189" s="2"/>
      <c r="L189" s="3" t="n">
        <v>199</v>
      </c>
      <c r="M189" s="3"/>
      <c r="N189" s="3"/>
      <c r="O189" s="3" t="n">
        <v>199</v>
      </c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3" t="n">
        <v>1442301</v>
      </c>
      <c r="AC189" s="2" t="s">
        <v>66</v>
      </c>
      <c r="AD189" s="2" t="s">
        <v>67</v>
      </c>
      <c r="AE189" s="2" t="s">
        <v>37</v>
      </c>
    </row>
    <row r="190" customFormat="false" ht="15" hidden="false" customHeight="false" outlineLevel="0" collapsed="false">
      <c r="A190" s="2" t="s">
        <v>260</v>
      </c>
      <c r="B190" s="2" t="s">
        <v>261</v>
      </c>
      <c r="C190" s="3" t="n">
        <v>2</v>
      </c>
      <c r="D190" s="2" t="s">
        <v>63</v>
      </c>
      <c r="E190" s="2" t="s">
        <v>64</v>
      </c>
      <c r="F190" s="3" t="n">
        <v>50</v>
      </c>
      <c r="G190" s="2" t="s">
        <v>65</v>
      </c>
      <c r="H190" s="4" t="n">
        <v>1499.61</v>
      </c>
      <c r="I190" s="4" t="n">
        <v>1499.61</v>
      </c>
      <c r="J190" s="5" t="n">
        <v>46185</v>
      </c>
      <c r="K190" s="2"/>
      <c r="L190" s="3" t="n">
        <v>2</v>
      </c>
      <c r="M190" s="3"/>
      <c r="N190" s="3"/>
      <c r="O190" s="3" t="n">
        <v>2</v>
      </c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3" t="n">
        <v>1442301</v>
      </c>
      <c r="AC190" s="2" t="s">
        <v>66</v>
      </c>
      <c r="AD190" s="2" t="s">
        <v>67</v>
      </c>
      <c r="AE190" s="2" t="s">
        <v>37</v>
      </c>
    </row>
    <row r="191" customFormat="false" ht="15" hidden="false" customHeight="false" outlineLevel="0" collapsed="false">
      <c r="A191" s="2" t="s">
        <v>260</v>
      </c>
      <c r="B191" s="2" t="s">
        <v>261</v>
      </c>
      <c r="C191" s="3" t="n">
        <v>2</v>
      </c>
      <c r="D191" s="2" t="s">
        <v>63</v>
      </c>
      <c r="E191" s="2" t="s">
        <v>64</v>
      </c>
      <c r="F191" s="3" t="n">
        <v>50</v>
      </c>
      <c r="G191" s="2" t="s">
        <v>65</v>
      </c>
      <c r="H191" s="4" t="n">
        <v>1499.61</v>
      </c>
      <c r="I191" s="4" t="n">
        <v>1499.61</v>
      </c>
      <c r="J191" s="2"/>
      <c r="K191" s="5" t="n">
        <v>46192</v>
      </c>
      <c r="L191" s="3"/>
      <c r="M191" s="3"/>
      <c r="N191" s="3" t="n">
        <v>1</v>
      </c>
      <c r="O191" s="3" t="n">
        <v>1</v>
      </c>
      <c r="P191" s="2"/>
      <c r="Q191" s="2" t="s">
        <v>68</v>
      </c>
      <c r="R191" s="2" t="s">
        <v>69</v>
      </c>
      <c r="S191" s="5" t="n">
        <v>46192</v>
      </c>
      <c r="T191" s="2" t="s">
        <v>51</v>
      </c>
      <c r="U191" s="5" t="n">
        <v>46192</v>
      </c>
      <c r="V191" s="2"/>
      <c r="W191" s="2" t="s">
        <v>70</v>
      </c>
      <c r="X191" s="2"/>
      <c r="Y191" s="2"/>
      <c r="Z191" s="2"/>
      <c r="AA191" s="2"/>
      <c r="AB191" s="3" t="n">
        <v>1442301</v>
      </c>
      <c r="AC191" s="2" t="s">
        <v>66</v>
      </c>
      <c r="AD191" s="2" t="s">
        <v>67</v>
      </c>
      <c r="AE191" s="2" t="s">
        <v>37</v>
      </c>
    </row>
    <row r="192" customFormat="false" ht="15" hidden="false" customHeight="false" outlineLevel="0" collapsed="false">
      <c r="A192" s="2" t="s">
        <v>262</v>
      </c>
      <c r="B192" s="2" t="s">
        <v>263</v>
      </c>
      <c r="C192" s="3" t="n">
        <v>89</v>
      </c>
      <c r="D192" s="2" t="s">
        <v>63</v>
      </c>
      <c r="E192" s="2" t="s">
        <v>64</v>
      </c>
      <c r="F192" s="3" t="n">
        <v>100</v>
      </c>
      <c r="G192" s="2" t="s">
        <v>73</v>
      </c>
      <c r="H192" s="4" t="n">
        <v>1100</v>
      </c>
      <c r="I192" s="4" t="n">
        <v>1100</v>
      </c>
      <c r="J192" s="5" t="n">
        <v>46185</v>
      </c>
      <c r="K192" s="2"/>
      <c r="L192" s="3" t="n">
        <v>89</v>
      </c>
      <c r="M192" s="3"/>
      <c r="N192" s="3"/>
      <c r="O192" s="3" t="n">
        <v>89</v>
      </c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3" t="n">
        <v>1442301</v>
      </c>
      <c r="AC192" s="2" t="s">
        <v>66</v>
      </c>
      <c r="AD192" s="2" t="s">
        <v>67</v>
      </c>
      <c r="AE192" s="2" t="s">
        <v>37</v>
      </c>
    </row>
    <row r="193" customFormat="false" ht="15" hidden="false" customHeight="false" outlineLevel="0" collapsed="false">
      <c r="A193" s="2" t="s">
        <v>262</v>
      </c>
      <c r="B193" s="2" t="s">
        <v>263</v>
      </c>
      <c r="C193" s="3" t="n">
        <v>89</v>
      </c>
      <c r="D193" s="2" t="s">
        <v>63</v>
      </c>
      <c r="E193" s="2" t="s">
        <v>64</v>
      </c>
      <c r="F193" s="3" t="n">
        <v>100</v>
      </c>
      <c r="G193" s="2" t="s">
        <v>73</v>
      </c>
      <c r="H193" s="4" t="n">
        <v>1100</v>
      </c>
      <c r="I193" s="4" t="n">
        <v>1100</v>
      </c>
      <c r="J193" s="2"/>
      <c r="K193" s="5" t="n">
        <v>46192</v>
      </c>
      <c r="L193" s="3"/>
      <c r="M193" s="3"/>
      <c r="N193" s="3" t="n">
        <v>1</v>
      </c>
      <c r="O193" s="3" t="n">
        <v>88</v>
      </c>
      <c r="P193" s="2"/>
      <c r="Q193" s="2" t="s">
        <v>68</v>
      </c>
      <c r="R193" s="2" t="s">
        <v>69</v>
      </c>
      <c r="S193" s="5" t="n">
        <v>46192</v>
      </c>
      <c r="T193" s="2" t="s">
        <v>51</v>
      </c>
      <c r="U193" s="5" t="n">
        <v>46192</v>
      </c>
      <c r="V193" s="2"/>
      <c r="W193" s="2" t="s">
        <v>70</v>
      </c>
      <c r="X193" s="2"/>
      <c r="Y193" s="2"/>
      <c r="Z193" s="2"/>
      <c r="AA193" s="2"/>
      <c r="AB193" s="3" t="n">
        <v>1442301</v>
      </c>
      <c r="AC193" s="2" t="s">
        <v>66</v>
      </c>
      <c r="AD193" s="2" t="s">
        <v>67</v>
      </c>
      <c r="AE193" s="2" t="s">
        <v>37</v>
      </c>
    </row>
    <row r="194" customFormat="false" ht="15" hidden="false" customHeight="false" outlineLevel="0" collapsed="false">
      <c r="A194" s="2" t="s">
        <v>264</v>
      </c>
      <c r="B194" s="2" t="s">
        <v>265</v>
      </c>
      <c r="C194" s="3" t="n">
        <v>22</v>
      </c>
      <c r="D194" s="2" t="s">
        <v>266</v>
      </c>
      <c r="E194" s="2" t="s">
        <v>267</v>
      </c>
      <c r="F194" s="3" t="n">
        <v>100</v>
      </c>
      <c r="G194" s="2" t="s">
        <v>65</v>
      </c>
      <c r="H194" s="4" t="n">
        <v>364.08</v>
      </c>
      <c r="I194" s="4" t="n">
        <v>364.08</v>
      </c>
      <c r="J194" s="5" t="n">
        <v>46185</v>
      </c>
      <c r="K194" s="2"/>
      <c r="L194" s="3" t="n">
        <v>22</v>
      </c>
      <c r="M194" s="3"/>
      <c r="N194" s="3"/>
      <c r="O194" s="3" t="n">
        <v>22</v>
      </c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3" t="n">
        <v>1442301</v>
      </c>
      <c r="AC194" s="2" t="s">
        <v>66</v>
      </c>
      <c r="AD194" s="2" t="s">
        <v>67</v>
      </c>
      <c r="AE194" s="2" t="s">
        <v>37</v>
      </c>
    </row>
    <row r="195" customFormat="false" ht="15" hidden="false" customHeight="false" outlineLevel="0" collapsed="false">
      <c r="A195" s="2" t="s">
        <v>264</v>
      </c>
      <c r="B195" s="2" t="s">
        <v>265</v>
      </c>
      <c r="C195" s="3" t="n">
        <v>22</v>
      </c>
      <c r="D195" s="2" t="s">
        <v>266</v>
      </c>
      <c r="E195" s="2" t="s">
        <v>267</v>
      </c>
      <c r="F195" s="3" t="n">
        <v>100</v>
      </c>
      <c r="G195" s="2" t="s">
        <v>65</v>
      </c>
      <c r="H195" s="4" t="n">
        <v>364.08</v>
      </c>
      <c r="I195" s="4" t="n">
        <v>364.08</v>
      </c>
      <c r="J195" s="2"/>
      <c r="K195" s="5" t="n">
        <v>46188</v>
      </c>
      <c r="L195" s="3"/>
      <c r="M195" s="3"/>
      <c r="N195" s="3" t="n">
        <v>1</v>
      </c>
      <c r="O195" s="3" t="n">
        <v>21</v>
      </c>
      <c r="P195" s="2" t="s">
        <v>123</v>
      </c>
      <c r="Q195" s="2" t="s">
        <v>124</v>
      </c>
      <c r="R195" s="2" t="s">
        <v>125</v>
      </c>
      <c r="S195" s="5" t="n">
        <v>46190</v>
      </c>
      <c r="T195" s="2" t="s">
        <v>51</v>
      </c>
      <c r="U195" s="5" t="n">
        <v>46192</v>
      </c>
      <c r="V195" s="2"/>
      <c r="W195" s="2"/>
      <c r="X195" s="2"/>
      <c r="Y195" s="2"/>
      <c r="Z195" s="2"/>
      <c r="AA195" s="2"/>
      <c r="AB195" s="3" t="n">
        <v>1442301</v>
      </c>
      <c r="AC195" s="2" t="s">
        <v>66</v>
      </c>
      <c r="AD195" s="2" t="s">
        <v>67</v>
      </c>
      <c r="AE195" s="2" t="s">
        <v>37</v>
      </c>
    </row>
    <row r="196" customFormat="false" ht="15" hidden="false" customHeight="false" outlineLevel="0" collapsed="false">
      <c r="A196" s="2" t="s">
        <v>264</v>
      </c>
      <c r="B196" s="2" t="s">
        <v>265</v>
      </c>
      <c r="C196" s="3" t="n">
        <v>22</v>
      </c>
      <c r="D196" s="2" t="s">
        <v>266</v>
      </c>
      <c r="E196" s="2" t="s">
        <v>267</v>
      </c>
      <c r="F196" s="3" t="n">
        <v>100</v>
      </c>
      <c r="G196" s="2" t="s">
        <v>65</v>
      </c>
      <c r="H196" s="4" t="n">
        <v>364.08</v>
      </c>
      <c r="I196" s="4" t="n">
        <v>364.08</v>
      </c>
      <c r="J196" s="2"/>
      <c r="K196" s="5" t="n">
        <v>46191</v>
      </c>
      <c r="L196" s="3"/>
      <c r="M196" s="3"/>
      <c r="N196" s="3" t="n">
        <v>2</v>
      </c>
      <c r="O196" s="3" t="n">
        <v>19</v>
      </c>
      <c r="P196" s="2" t="s">
        <v>135</v>
      </c>
      <c r="Q196" s="2" t="s">
        <v>136</v>
      </c>
      <c r="R196" s="2" t="s">
        <v>137</v>
      </c>
      <c r="S196" s="5" t="n">
        <v>46191</v>
      </c>
      <c r="T196" s="2" t="s">
        <v>51</v>
      </c>
      <c r="U196" s="5" t="n">
        <v>46196</v>
      </c>
      <c r="V196" s="2"/>
      <c r="W196" s="2"/>
      <c r="X196" s="2"/>
      <c r="Y196" s="2"/>
      <c r="Z196" s="2"/>
      <c r="AA196" s="2"/>
      <c r="AB196" s="3" t="n">
        <v>1442301</v>
      </c>
      <c r="AC196" s="2" t="s">
        <v>66</v>
      </c>
      <c r="AD196" s="2" t="s">
        <v>67</v>
      </c>
      <c r="AE196" s="2" t="s">
        <v>37</v>
      </c>
    </row>
    <row r="197" customFormat="false" ht="15" hidden="false" customHeight="false" outlineLevel="0" collapsed="false">
      <c r="A197" s="2" t="s">
        <v>264</v>
      </c>
      <c r="B197" s="2" t="s">
        <v>265</v>
      </c>
      <c r="C197" s="3" t="n">
        <v>22</v>
      </c>
      <c r="D197" s="2" t="s">
        <v>266</v>
      </c>
      <c r="E197" s="2" t="s">
        <v>267</v>
      </c>
      <c r="F197" s="3" t="n">
        <v>100</v>
      </c>
      <c r="G197" s="2" t="s">
        <v>65</v>
      </c>
      <c r="H197" s="4" t="n">
        <v>364.08</v>
      </c>
      <c r="I197" s="4" t="n">
        <v>364.08</v>
      </c>
      <c r="J197" s="2"/>
      <c r="K197" s="5" t="n">
        <v>46192</v>
      </c>
      <c r="L197" s="3"/>
      <c r="M197" s="3"/>
      <c r="N197" s="3" t="n">
        <v>1</v>
      </c>
      <c r="O197" s="3" t="n">
        <v>18</v>
      </c>
      <c r="P197" s="2" t="s">
        <v>82</v>
      </c>
      <c r="Q197" s="2" t="s">
        <v>83</v>
      </c>
      <c r="R197" s="2" t="s">
        <v>84</v>
      </c>
      <c r="S197" s="5" t="n">
        <v>46192</v>
      </c>
      <c r="T197" s="2" t="s">
        <v>51</v>
      </c>
      <c r="U197" s="5" t="n">
        <v>46192</v>
      </c>
      <c r="V197" s="2"/>
      <c r="W197" s="2"/>
      <c r="X197" s="2"/>
      <c r="Y197" s="2"/>
      <c r="Z197" s="2"/>
      <c r="AA197" s="2"/>
      <c r="AB197" s="3" t="n">
        <v>1442301</v>
      </c>
      <c r="AC197" s="2" t="s">
        <v>66</v>
      </c>
      <c r="AD197" s="2" t="s">
        <v>67</v>
      </c>
      <c r="AE197" s="2" t="s">
        <v>37</v>
      </c>
    </row>
    <row r="198" customFormat="false" ht="15" hidden="false" customHeight="false" outlineLevel="0" collapsed="false">
      <c r="A198" s="2" t="s">
        <v>264</v>
      </c>
      <c r="B198" s="2" t="s">
        <v>265</v>
      </c>
      <c r="C198" s="3" t="n">
        <v>22</v>
      </c>
      <c r="D198" s="2" t="s">
        <v>266</v>
      </c>
      <c r="E198" s="2" t="s">
        <v>267</v>
      </c>
      <c r="F198" s="3" t="n">
        <v>100</v>
      </c>
      <c r="G198" s="2" t="s">
        <v>65</v>
      </c>
      <c r="H198" s="4" t="n">
        <v>364.08</v>
      </c>
      <c r="I198" s="4" t="n">
        <v>364.08</v>
      </c>
      <c r="J198" s="2"/>
      <c r="K198" s="5" t="n">
        <v>46192</v>
      </c>
      <c r="L198" s="3"/>
      <c r="M198" s="3"/>
      <c r="N198" s="3" t="n">
        <v>3</v>
      </c>
      <c r="O198" s="3" t="n">
        <v>15</v>
      </c>
      <c r="P198" s="2"/>
      <c r="Q198" s="2" t="s">
        <v>68</v>
      </c>
      <c r="R198" s="2" t="s">
        <v>69</v>
      </c>
      <c r="S198" s="5" t="n">
        <v>46192</v>
      </c>
      <c r="T198" s="2" t="s">
        <v>51</v>
      </c>
      <c r="U198" s="5" t="n">
        <v>46192</v>
      </c>
      <c r="V198" s="2"/>
      <c r="W198" s="2" t="s">
        <v>70</v>
      </c>
      <c r="X198" s="2"/>
      <c r="Y198" s="2"/>
      <c r="Z198" s="2"/>
      <c r="AA198" s="2"/>
      <c r="AB198" s="3" t="n">
        <v>1442301</v>
      </c>
      <c r="AC198" s="2" t="s">
        <v>66</v>
      </c>
      <c r="AD198" s="2" t="s">
        <v>67</v>
      </c>
      <c r="AE198" s="2" t="s">
        <v>37</v>
      </c>
    </row>
    <row r="199" customFormat="false" ht="15" hidden="false" customHeight="false" outlineLevel="0" collapsed="false">
      <c r="A199" s="2" t="s">
        <v>264</v>
      </c>
      <c r="B199" s="2" t="s">
        <v>265</v>
      </c>
      <c r="C199" s="3" t="n">
        <v>22</v>
      </c>
      <c r="D199" s="2" t="s">
        <v>266</v>
      </c>
      <c r="E199" s="2" t="s">
        <v>267</v>
      </c>
      <c r="F199" s="3" t="n">
        <v>100</v>
      </c>
      <c r="G199" s="2" t="s">
        <v>65</v>
      </c>
      <c r="H199" s="4" t="n">
        <v>364.08</v>
      </c>
      <c r="I199" s="4" t="n">
        <v>364.08</v>
      </c>
      <c r="J199" s="2"/>
      <c r="K199" s="5" t="n">
        <v>46205</v>
      </c>
      <c r="L199" s="3"/>
      <c r="M199" s="3"/>
      <c r="N199" s="3" t="n">
        <v>2</v>
      </c>
      <c r="O199" s="3" t="n">
        <v>13</v>
      </c>
      <c r="P199" s="2" t="s">
        <v>85</v>
      </c>
      <c r="Q199" s="2" t="s">
        <v>86</v>
      </c>
      <c r="R199" s="2" t="s">
        <v>87</v>
      </c>
      <c r="S199" s="5" t="n">
        <v>46209</v>
      </c>
      <c r="T199" s="2" t="s">
        <v>51</v>
      </c>
      <c r="U199" s="5" t="n">
        <v>46212</v>
      </c>
      <c r="V199" s="2" t="s">
        <v>88</v>
      </c>
      <c r="W199" s="2" t="s">
        <v>89</v>
      </c>
      <c r="X199" s="2"/>
      <c r="Y199" s="2"/>
      <c r="Z199" s="2"/>
      <c r="AA199" s="2"/>
      <c r="AB199" s="3" t="n">
        <v>1442301</v>
      </c>
      <c r="AC199" s="2" t="s">
        <v>66</v>
      </c>
      <c r="AD199" s="2" t="s">
        <v>67</v>
      </c>
      <c r="AE199" s="2" t="s">
        <v>37</v>
      </c>
    </row>
    <row r="200" customFormat="false" ht="15" hidden="false" customHeight="false" outlineLevel="0" collapsed="false">
      <c r="A200" s="2" t="s">
        <v>268</v>
      </c>
      <c r="B200" s="2" t="s">
        <v>269</v>
      </c>
      <c r="C200" s="3" t="n">
        <v>46</v>
      </c>
      <c r="D200" s="2" t="s">
        <v>266</v>
      </c>
      <c r="E200" s="2" t="s">
        <v>267</v>
      </c>
      <c r="F200" s="3" t="n">
        <v>100</v>
      </c>
      <c r="G200" s="2" t="s">
        <v>65</v>
      </c>
      <c r="H200" s="4" t="n">
        <v>187.59</v>
      </c>
      <c r="I200" s="4" t="n">
        <v>187.59</v>
      </c>
      <c r="J200" s="5" t="n">
        <v>46185</v>
      </c>
      <c r="K200" s="2"/>
      <c r="L200" s="3" t="n">
        <v>46</v>
      </c>
      <c r="M200" s="3"/>
      <c r="N200" s="3"/>
      <c r="O200" s="3" t="n">
        <v>46</v>
      </c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3" t="n">
        <v>1442301</v>
      </c>
      <c r="AC200" s="2" t="s">
        <v>66</v>
      </c>
      <c r="AD200" s="2" t="s">
        <v>67</v>
      </c>
      <c r="AE200" s="2" t="s">
        <v>37</v>
      </c>
    </row>
    <row r="201" customFormat="false" ht="15" hidden="false" customHeight="false" outlineLevel="0" collapsed="false">
      <c r="A201" s="2" t="s">
        <v>268</v>
      </c>
      <c r="B201" s="2" t="s">
        <v>269</v>
      </c>
      <c r="C201" s="3" t="n">
        <v>46</v>
      </c>
      <c r="D201" s="2" t="s">
        <v>266</v>
      </c>
      <c r="E201" s="2" t="s">
        <v>267</v>
      </c>
      <c r="F201" s="3" t="n">
        <v>100</v>
      </c>
      <c r="G201" s="2" t="s">
        <v>65</v>
      </c>
      <c r="H201" s="4" t="n">
        <v>187.59</v>
      </c>
      <c r="I201" s="4" t="n">
        <v>187.59</v>
      </c>
      <c r="J201" s="2"/>
      <c r="K201" s="5" t="n">
        <v>46188</v>
      </c>
      <c r="L201" s="3"/>
      <c r="M201" s="3"/>
      <c r="N201" s="3" t="n">
        <v>2</v>
      </c>
      <c r="O201" s="3" t="n">
        <v>44</v>
      </c>
      <c r="P201" s="2" t="s">
        <v>156</v>
      </c>
      <c r="Q201" s="2" t="s">
        <v>157</v>
      </c>
      <c r="R201" s="2" t="s">
        <v>158</v>
      </c>
      <c r="S201" s="5" t="n">
        <v>46190</v>
      </c>
      <c r="T201" s="2" t="s">
        <v>51</v>
      </c>
      <c r="U201" s="5" t="n">
        <v>46190</v>
      </c>
      <c r="V201" s="2"/>
      <c r="W201" s="2"/>
      <c r="X201" s="2"/>
      <c r="Y201" s="2"/>
      <c r="Z201" s="2"/>
      <c r="AA201" s="2"/>
      <c r="AB201" s="3" t="n">
        <v>1442301</v>
      </c>
      <c r="AC201" s="2" t="s">
        <v>66</v>
      </c>
      <c r="AD201" s="2" t="s">
        <v>67</v>
      </c>
      <c r="AE201" s="2" t="s">
        <v>37</v>
      </c>
    </row>
    <row r="202" customFormat="false" ht="15" hidden="false" customHeight="false" outlineLevel="0" collapsed="false">
      <c r="A202" s="2" t="s">
        <v>268</v>
      </c>
      <c r="B202" s="2" t="s">
        <v>269</v>
      </c>
      <c r="C202" s="3" t="n">
        <v>46</v>
      </c>
      <c r="D202" s="2" t="s">
        <v>266</v>
      </c>
      <c r="E202" s="2" t="s">
        <v>267</v>
      </c>
      <c r="F202" s="3" t="n">
        <v>100</v>
      </c>
      <c r="G202" s="2" t="s">
        <v>65</v>
      </c>
      <c r="H202" s="4" t="n">
        <v>187.59</v>
      </c>
      <c r="I202" s="4" t="n">
        <v>187.59</v>
      </c>
      <c r="J202" s="2"/>
      <c r="K202" s="5" t="n">
        <v>46191</v>
      </c>
      <c r="L202" s="3"/>
      <c r="M202" s="3"/>
      <c r="N202" s="3" t="n">
        <v>2</v>
      </c>
      <c r="O202" s="3" t="n">
        <v>42</v>
      </c>
      <c r="P202" s="2" t="s">
        <v>135</v>
      </c>
      <c r="Q202" s="2" t="s">
        <v>136</v>
      </c>
      <c r="R202" s="2" t="s">
        <v>137</v>
      </c>
      <c r="S202" s="5" t="n">
        <v>46191</v>
      </c>
      <c r="T202" s="2" t="s">
        <v>51</v>
      </c>
      <c r="U202" s="5" t="n">
        <v>46196</v>
      </c>
      <c r="V202" s="2"/>
      <c r="W202" s="2"/>
      <c r="X202" s="2"/>
      <c r="Y202" s="2"/>
      <c r="Z202" s="2"/>
      <c r="AA202" s="2"/>
      <c r="AB202" s="3" t="n">
        <v>1442301</v>
      </c>
      <c r="AC202" s="2" t="s">
        <v>66</v>
      </c>
      <c r="AD202" s="2" t="s">
        <v>67</v>
      </c>
      <c r="AE202" s="2" t="s">
        <v>37</v>
      </c>
    </row>
    <row r="203" customFormat="false" ht="15" hidden="false" customHeight="false" outlineLevel="0" collapsed="false">
      <c r="A203" s="2" t="s">
        <v>268</v>
      </c>
      <c r="B203" s="2" t="s">
        <v>269</v>
      </c>
      <c r="C203" s="3" t="n">
        <v>46</v>
      </c>
      <c r="D203" s="2" t="s">
        <v>266</v>
      </c>
      <c r="E203" s="2" t="s">
        <v>267</v>
      </c>
      <c r="F203" s="3" t="n">
        <v>100</v>
      </c>
      <c r="G203" s="2" t="s">
        <v>65</v>
      </c>
      <c r="H203" s="4" t="n">
        <v>187.59</v>
      </c>
      <c r="I203" s="4" t="n">
        <v>187.59</v>
      </c>
      <c r="J203" s="2"/>
      <c r="K203" s="5" t="n">
        <v>46192</v>
      </c>
      <c r="L203" s="3"/>
      <c r="M203" s="3"/>
      <c r="N203" s="3" t="n">
        <v>2</v>
      </c>
      <c r="O203" s="3" t="n">
        <v>40</v>
      </c>
      <c r="P203" s="2" t="s">
        <v>82</v>
      </c>
      <c r="Q203" s="2" t="s">
        <v>83</v>
      </c>
      <c r="R203" s="2" t="s">
        <v>84</v>
      </c>
      <c r="S203" s="5" t="n">
        <v>46192</v>
      </c>
      <c r="T203" s="2" t="s">
        <v>51</v>
      </c>
      <c r="U203" s="5" t="n">
        <v>46192</v>
      </c>
      <c r="V203" s="2"/>
      <c r="W203" s="2"/>
      <c r="X203" s="2"/>
      <c r="Y203" s="2"/>
      <c r="Z203" s="2"/>
      <c r="AA203" s="2"/>
      <c r="AB203" s="3" t="n">
        <v>1442301</v>
      </c>
      <c r="AC203" s="2" t="s">
        <v>66</v>
      </c>
      <c r="AD203" s="2" t="s">
        <v>67</v>
      </c>
      <c r="AE203" s="2" t="s">
        <v>37</v>
      </c>
    </row>
    <row r="204" customFormat="false" ht="15" hidden="false" customHeight="false" outlineLevel="0" collapsed="false">
      <c r="A204" s="2" t="s">
        <v>268</v>
      </c>
      <c r="B204" s="2" t="s">
        <v>269</v>
      </c>
      <c r="C204" s="3" t="n">
        <v>46</v>
      </c>
      <c r="D204" s="2" t="s">
        <v>266</v>
      </c>
      <c r="E204" s="2" t="s">
        <v>267</v>
      </c>
      <c r="F204" s="3" t="n">
        <v>100</v>
      </c>
      <c r="G204" s="2" t="s">
        <v>65</v>
      </c>
      <c r="H204" s="4" t="n">
        <v>187.59</v>
      </c>
      <c r="I204" s="4" t="n">
        <v>187.59</v>
      </c>
      <c r="J204" s="2"/>
      <c r="K204" s="5" t="n">
        <v>46192</v>
      </c>
      <c r="L204" s="3"/>
      <c r="M204" s="3"/>
      <c r="N204" s="3" t="n">
        <v>3</v>
      </c>
      <c r="O204" s="3" t="n">
        <v>37</v>
      </c>
      <c r="P204" s="2"/>
      <c r="Q204" s="2" t="s">
        <v>68</v>
      </c>
      <c r="R204" s="2" t="s">
        <v>69</v>
      </c>
      <c r="S204" s="5" t="n">
        <v>46192</v>
      </c>
      <c r="T204" s="2" t="s">
        <v>51</v>
      </c>
      <c r="U204" s="5" t="n">
        <v>46192</v>
      </c>
      <c r="V204" s="2"/>
      <c r="W204" s="2" t="s">
        <v>70</v>
      </c>
      <c r="X204" s="2"/>
      <c r="Y204" s="2"/>
      <c r="Z204" s="2"/>
      <c r="AA204" s="2"/>
      <c r="AB204" s="3" t="n">
        <v>1442301</v>
      </c>
      <c r="AC204" s="2" t="s">
        <v>66</v>
      </c>
      <c r="AD204" s="2" t="s">
        <v>67</v>
      </c>
      <c r="AE204" s="2" t="s">
        <v>37</v>
      </c>
    </row>
    <row r="205" customFormat="false" ht="15" hidden="false" customHeight="false" outlineLevel="0" collapsed="false">
      <c r="A205" s="2" t="s">
        <v>268</v>
      </c>
      <c r="B205" s="2" t="s">
        <v>269</v>
      </c>
      <c r="C205" s="3" t="n">
        <v>46</v>
      </c>
      <c r="D205" s="2" t="s">
        <v>266</v>
      </c>
      <c r="E205" s="2" t="s">
        <v>267</v>
      </c>
      <c r="F205" s="3" t="n">
        <v>100</v>
      </c>
      <c r="G205" s="2" t="s">
        <v>65</v>
      </c>
      <c r="H205" s="4" t="n">
        <v>187.59</v>
      </c>
      <c r="I205" s="4" t="n">
        <v>187.59</v>
      </c>
      <c r="J205" s="2"/>
      <c r="K205" s="5" t="n">
        <v>46205</v>
      </c>
      <c r="L205" s="3"/>
      <c r="M205" s="3"/>
      <c r="N205" s="3" t="n">
        <v>2</v>
      </c>
      <c r="O205" s="3" t="n">
        <v>35</v>
      </c>
      <c r="P205" s="2" t="s">
        <v>85</v>
      </c>
      <c r="Q205" s="2" t="s">
        <v>86</v>
      </c>
      <c r="R205" s="2" t="s">
        <v>87</v>
      </c>
      <c r="S205" s="5" t="n">
        <v>46209</v>
      </c>
      <c r="T205" s="2" t="s">
        <v>51</v>
      </c>
      <c r="U205" s="5" t="n">
        <v>46212</v>
      </c>
      <c r="V205" s="2" t="s">
        <v>88</v>
      </c>
      <c r="W205" s="2" t="s">
        <v>89</v>
      </c>
      <c r="X205" s="2"/>
      <c r="Y205" s="2"/>
      <c r="Z205" s="2"/>
      <c r="AA205" s="2"/>
      <c r="AB205" s="3" t="n">
        <v>1442301</v>
      </c>
      <c r="AC205" s="2" t="s">
        <v>66</v>
      </c>
      <c r="AD205" s="2" t="s">
        <v>67</v>
      </c>
      <c r="AE205" s="2" t="s">
        <v>37</v>
      </c>
    </row>
    <row r="206" customFormat="false" ht="15" hidden="false" customHeight="false" outlineLevel="0" collapsed="false">
      <c r="A206" s="2" t="s">
        <v>270</v>
      </c>
      <c r="B206" s="2" t="s">
        <v>271</v>
      </c>
      <c r="C206" s="3" t="n">
        <v>199</v>
      </c>
      <c r="D206" s="2" t="s">
        <v>266</v>
      </c>
      <c r="E206" s="2" t="s">
        <v>267</v>
      </c>
      <c r="F206" s="3" t="n">
        <v>100</v>
      </c>
      <c r="G206" s="2" t="s">
        <v>65</v>
      </c>
      <c r="H206" s="4" t="n">
        <v>182.04</v>
      </c>
      <c r="I206" s="4" t="n">
        <v>182.04</v>
      </c>
      <c r="J206" s="5" t="n">
        <v>46185</v>
      </c>
      <c r="K206" s="2"/>
      <c r="L206" s="3" t="n">
        <v>199</v>
      </c>
      <c r="M206" s="3"/>
      <c r="N206" s="3"/>
      <c r="O206" s="3" t="n">
        <v>199</v>
      </c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3" t="n">
        <v>1442301</v>
      </c>
      <c r="AC206" s="2" t="s">
        <v>66</v>
      </c>
      <c r="AD206" s="2" t="s">
        <v>67</v>
      </c>
      <c r="AE206" s="2" t="s">
        <v>37</v>
      </c>
    </row>
    <row r="207" customFormat="false" ht="15" hidden="false" customHeight="false" outlineLevel="0" collapsed="false">
      <c r="A207" s="2" t="s">
        <v>270</v>
      </c>
      <c r="B207" s="2" t="s">
        <v>271</v>
      </c>
      <c r="C207" s="3" t="n">
        <v>199</v>
      </c>
      <c r="D207" s="2" t="s">
        <v>266</v>
      </c>
      <c r="E207" s="2" t="s">
        <v>267</v>
      </c>
      <c r="F207" s="3" t="n">
        <v>100</v>
      </c>
      <c r="G207" s="2" t="s">
        <v>65</v>
      </c>
      <c r="H207" s="4" t="n">
        <v>182.04</v>
      </c>
      <c r="I207" s="4" t="n">
        <v>182.04</v>
      </c>
      <c r="J207" s="2"/>
      <c r="K207" s="5" t="n">
        <v>46192</v>
      </c>
      <c r="L207" s="3"/>
      <c r="M207" s="3"/>
      <c r="N207" s="3" t="n">
        <v>2</v>
      </c>
      <c r="O207" s="3" t="n">
        <v>197</v>
      </c>
      <c r="P207" s="2"/>
      <c r="Q207" s="2" t="s">
        <v>68</v>
      </c>
      <c r="R207" s="2" t="s">
        <v>69</v>
      </c>
      <c r="S207" s="5" t="n">
        <v>46192</v>
      </c>
      <c r="T207" s="2" t="s">
        <v>51</v>
      </c>
      <c r="U207" s="5" t="n">
        <v>46192</v>
      </c>
      <c r="V207" s="2"/>
      <c r="W207" s="2" t="s">
        <v>70</v>
      </c>
      <c r="X207" s="2"/>
      <c r="Y207" s="2"/>
      <c r="Z207" s="2"/>
      <c r="AA207" s="2"/>
      <c r="AB207" s="3" t="n">
        <v>1442301</v>
      </c>
      <c r="AC207" s="2" t="s">
        <v>66</v>
      </c>
      <c r="AD207" s="2" t="s">
        <v>67</v>
      </c>
      <c r="AE207" s="2" t="s">
        <v>37</v>
      </c>
    </row>
    <row r="208" customFormat="false" ht="15" hidden="false" customHeight="false" outlineLevel="0" collapsed="false">
      <c r="A208" s="2" t="s">
        <v>270</v>
      </c>
      <c r="B208" s="2" t="s">
        <v>271</v>
      </c>
      <c r="C208" s="3" t="n">
        <v>199</v>
      </c>
      <c r="D208" s="2" t="s">
        <v>266</v>
      </c>
      <c r="E208" s="2" t="s">
        <v>267</v>
      </c>
      <c r="F208" s="3" t="n">
        <v>100</v>
      </c>
      <c r="G208" s="2" t="s">
        <v>65</v>
      </c>
      <c r="H208" s="4" t="n">
        <v>182.04</v>
      </c>
      <c r="I208" s="4" t="n">
        <v>182.04</v>
      </c>
      <c r="J208" s="2"/>
      <c r="K208" s="5" t="n">
        <v>46188</v>
      </c>
      <c r="L208" s="3"/>
      <c r="M208" s="3"/>
      <c r="N208" s="3" t="n">
        <v>5</v>
      </c>
      <c r="O208" s="3" t="n">
        <v>192</v>
      </c>
      <c r="P208" s="2" t="s">
        <v>108</v>
      </c>
      <c r="Q208" s="2" t="s">
        <v>109</v>
      </c>
      <c r="R208" s="2" t="s">
        <v>110</v>
      </c>
      <c r="S208" s="5" t="n">
        <v>46191</v>
      </c>
      <c r="T208" s="2" t="s">
        <v>55</v>
      </c>
      <c r="U208" s="5" t="n">
        <v>46192</v>
      </c>
      <c r="V208" s="2" t="s">
        <v>111</v>
      </c>
      <c r="W208" s="2" t="s">
        <v>112</v>
      </c>
      <c r="X208" s="2"/>
      <c r="Y208" s="2"/>
      <c r="Z208" s="2"/>
      <c r="AA208" s="2"/>
      <c r="AB208" s="3" t="n">
        <v>1442301</v>
      </c>
      <c r="AC208" s="2" t="s">
        <v>66</v>
      </c>
      <c r="AD208" s="2" t="s">
        <v>67</v>
      </c>
      <c r="AE208" s="2" t="s">
        <v>37</v>
      </c>
    </row>
    <row r="209" customFormat="false" ht="15" hidden="false" customHeight="false" outlineLevel="0" collapsed="false">
      <c r="A209" s="2" t="s">
        <v>270</v>
      </c>
      <c r="B209" s="2" t="s">
        <v>271</v>
      </c>
      <c r="C209" s="3" t="n">
        <v>199</v>
      </c>
      <c r="D209" s="2" t="s">
        <v>266</v>
      </c>
      <c r="E209" s="2" t="s">
        <v>267</v>
      </c>
      <c r="F209" s="3" t="n">
        <v>100</v>
      </c>
      <c r="G209" s="2" t="s">
        <v>65</v>
      </c>
      <c r="H209" s="4" t="n">
        <v>182.04</v>
      </c>
      <c r="I209" s="4" t="n">
        <v>182.04</v>
      </c>
      <c r="J209" s="2"/>
      <c r="K209" s="5" t="n">
        <v>46213</v>
      </c>
      <c r="L209" s="3"/>
      <c r="M209" s="3"/>
      <c r="N209" s="3" t="n">
        <v>35</v>
      </c>
      <c r="O209" s="3" t="n">
        <v>157</v>
      </c>
      <c r="P209" s="2" t="s">
        <v>162</v>
      </c>
      <c r="Q209" s="2" t="s">
        <v>163</v>
      </c>
      <c r="R209" s="2" t="s">
        <v>164</v>
      </c>
      <c r="S209" s="5" t="n">
        <v>46213</v>
      </c>
      <c r="T209" s="2" t="s">
        <v>55</v>
      </c>
      <c r="U209" s="5" t="n">
        <v>46213</v>
      </c>
      <c r="V209" s="2" t="s">
        <v>165</v>
      </c>
      <c r="W209" s="2" t="s">
        <v>251</v>
      </c>
      <c r="X209" s="2"/>
      <c r="Y209" s="2"/>
      <c r="Z209" s="2"/>
      <c r="AA209" s="2"/>
      <c r="AB209" s="3" t="n">
        <v>1442301</v>
      </c>
      <c r="AC209" s="2" t="s">
        <v>66</v>
      </c>
      <c r="AD209" s="2" t="s">
        <v>67</v>
      </c>
      <c r="AE209" s="2" t="s">
        <v>37</v>
      </c>
    </row>
    <row r="210" customFormat="false" ht="15" hidden="false" customHeight="false" outlineLevel="0" collapsed="false">
      <c r="A210" s="2" t="s">
        <v>272</v>
      </c>
      <c r="B210" s="2" t="s">
        <v>273</v>
      </c>
      <c r="C210" s="3" t="n">
        <v>1</v>
      </c>
      <c r="D210" s="2" t="s">
        <v>63</v>
      </c>
      <c r="E210" s="2" t="s">
        <v>274</v>
      </c>
      <c r="F210" s="3" t="n">
        <v>1</v>
      </c>
      <c r="G210" s="2" t="s">
        <v>63</v>
      </c>
      <c r="H210" s="4"/>
      <c r="I210" s="4"/>
      <c r="J210" s="5" t="n">
        <v>46185</v>
      </c>
      <c r="K210" s="2"/>
      <c r="L210" s="3" t="n">
        <v>1</v>
      </c>
      <c r="M210" s="3"/>
      <c r="N210" s="3"/>
      <c r="O210" s="3" t="n">
        <v>1</v>
      </c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7" t="n">
        <v>1442301</v>
      </c>
      <c r="AC210" s="8" t="s">
        <v>66</v>
      </c>
      <c r="AD210" s="8" t="s">
        <v>67</v>
      </c>
      <c r="AE210" s="8" t="s">
        <v>275</v>
      </c>
    </row>
    <row r="211" customFormat="false" ht="15" hidden="false" customHeight="false" outlineLevel="0" collapsed="false">
      <c r="A211" s="2" t="s">
        <v>276</v>
      </c>
      <c r="B211" s="2" t="s">
        <v>277</v>
      </c>
      <c r="C211" s="3" t="n">
        <v>2</v>
      </c>
      <c r="D211" s="2" t="s">
        <v>266</v>
      </c>
      <c r="E211" s="2" t="s">
        <v>267</v>
      </c>
      <c r="F211" s="3" t="n">
        <v>250</v>
      </c>
      <c r="G211" s="2" t="s">
        <v>65</v>
      </c>
      <c r="H211" s="4" t="n">
        <v>168.72</v>
      </c>
      <c r="I211" s="4" t="n">
        <v>168.72</v>
      </c>
      <c r="J211" s="5" t="n">
        <v>46185</v>
      </c>
      <c r="K211" s="2"/>
      <c r="L211" s="3" t="n">
        <v>2</v>
      </c>
      <c r="M211" s="3"/>
      <c r="N211" s="3"/>
      <c r="O211" s="3" t="n">
        <v>2</v>
      </c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3" t="n">
        <v>1442301</v>
      </c>
      <c r="AC211" s="2" t="s">
        <v>66</v>
      </c>
      <c r="AD211" s="2" t="s">
        <v>67</v>
      </c>
      <c r="AE211" s="2" t="s">
        <v>37</v>
      </c>
    </row>
    <row r="212" customFormat="false" ht="15" hidden="false" customHeight="false" outlineLevel="0" collapsed="false">
      <c r="A212" s="2" t="s">
        <v>276</v>
      </c>
      <c r="B212" s="2" t="s">
        <v>277</v>
      </c>
      <c r="C212" s="3" t="n">
        <v>2</v>
      </c>
      <c r="D212" s="2" t="s">
        <v>266</v>
      </c>
      <c r="E212" s="2" t="s">
        <v>267</v>
      </c>
      <c r="F212" s="3" t="n">
        <v>250</v>
      </c>
      <c r="G212" s="2" t="s">
        <v>65</v>
      </c>
      <c r="H212" s="4" t="n">
        <v>168.72</v>
      </c>
      <c r="I212" s="4" t="n">
        <v>168.72</v>
      </c>
      <c r="J212" s="5" t="n">
        <v>46212</v>
      </c>
      <c r="K212" s="2"/>
      <c r="L212" s="3"/>
      <c r="M212" s="3" t="n">
        <v>186</v>
      </c>
      <c r="N212" s="3"/>
      <c r="O212" s="3" t="n">
        <v>188</v>
      </c>
      <c r="P212" s="2" t="s">
        <v>74</v>
      </c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3" t="n">
        <v>1442301</v>
      </c>
      <c r="AC212" s="2" t="s">
        <v>66</v>
      </c>
      <c r="AD212" s="2" t="s">
        <v>67</v>
      </c>
      <c r="AE212" s="2" t="s">
        <v>37</v>
      </c>
    </row>
    <row r="213" customFormat="false" ht="15" hidden="false" customHeight="false" outlineLevel="0" collapsed="false">
      <c r="A213" s="2" t="s">
        <v>276</v>
      </c>
      <c r="B213" s="2" t="s">
        <v>277</v>
      </c>
      <c r="C213" s="3" t="n">
        <v>2</v>
      </c>
      <c r="D213" s="2" t="s">
        <v>266</v>
      </c>
      <c r="E213" s="2" t="s">
        <v>267</v>
      </c>
      <c r="F213" s="3" t="n">
        <v>250</v>
      </c>
      <c r="G213" s="2" t="s">
        <v>65</v>
      </c>
      <c r="H213" s="4" t="n">
        <v>168.72</v>
      </c>
      <c r="I213" s="4" t="n">
        <v>168.72</v>
      </c>
      <c r="J213" s="5" t="n">
        <v>46185</v>
      </c>
      <c r="K213" s="2"/>
      <c r="L213" s="3"/>
      <c r="M213" s="3" t="n">
        <v>9</v>
      </c>
      <c r="N213" s="3"/>
      <c r="O213" s="3" t="n">
        <v>11</v>
      </c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3" t="n">
        <v>1442301</v>
      </c>
      <c r="AC213" s="2" t="s">
        <v>66</v>
      </c>
      <c r="AD213" s="2" t="s">
        <v>67</v>
      </c>
      <c r="AE213" s="2" t="s">
        <v>37</v>
      </c>
    </row>
    <row r="214" customFormat="false" ht="15" hidden="false" customHeight="false" outlineLevel="0" collapsed="false">
      <c r="A214" s="2" t="s">
        <v>278</v>
      </c>
      <c r="B214" s="2" t="s">
        <v>279</v>
      </c>
      <c r="C214" s="3" t="n">
        <v>102</v>
      </c>
      <c r="D214" s="2" t="s">
        <v>63</v>
      </c>
      <c r="E214" s="2" t="s">
        <v>64</v>
      </c>
      <c r="F214" s="3" t="n">
        <v>50</v>
      </c>
      <c r="G214" s="2" t="s">
        <v>73</v>
      </c>
      <c r="H214" s="4" t="n">
        <v>1648.35</v>
      </c>
      <c r="I214" s="4" t="n">
        <v>1648.35</v>
      </c>
      <c r="J214" s="5" t="n">
        <v>46185</v>
      </c>
      <c r="K214" s="2"/>
      <c r="L214" s="3" t="n">
        <v>102</v>
      </c>
      <c r="M214" s="3"/>
      <c r="N214" s="3"/>
      <c r="O214" s="3" t="n">
        <v>102</v>
      </c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3" t="n">
        <v>1442301</v>
      </c>
      <c r="AC214" s="2" t="s">
        <v>66</v>
      </c>
      <c r="AD214" s="2" t="s">
        <v>67</v>
      </c>
      <c r="AE214" s="2" t="s">
        <v>37</v>
      </c>
    </row>
    <row r="215" customFormat="false" ht="15" hidden="false" customHeight="false" outlineLevel="0" collapsed="false">
      <c r="A215" s="2" t="s">
        <v>278</v>
      </c>
      <c r="B215" s="2" t="s">
        <v>279</v>
      </c>
      <c r="C215" s="3" t="n">
        <v>102</v>
      </c>
      <c r="D215" s="2" t="s">
        <v>63</v>
      </c>
      <c r="E215" s="2" t="s">
        <v>64</v>
      </c>
      <c r="F215" s="3" t="n">
        <v>50</v>
      </c>
      <c r="G215" s="2" t="s">
        <v>73</v>
      </c>
      <c r="H215" s="4" t="n">
        <v>1648.35</v>
      </c>
      <c r="I215" s="4" t="n">
        <v>1648.35</v>
      </c>
      <c r="J215" s="2"/>
      <c r="K215" s="5" t="n">
        <v>46192</v>
      </c>
      <c r="L215" s="3"/>
      <c r="M215" s="3"/>
      <c r="N215" s="3" t="n">
        <v>1</v>
      </c>
      <c r="O215" s="3" t="n">
        <v>101</v>
      </c>
      <c r="P215" s="2"/>
      <c r="Q215" s="2" t="s">
        <v>68</v>
      </c>
      <c r="R215" s="2" t="s">
        <v>69</v>
      </c>
      <c r="S215" s="5" t="n">
        <v>46192</v>
      </c>
      <c r="T215" s="2" t="s">
        <v>51</v>
      </c>
      <c r="U215" s="5" t="n">
        <v>46192</v>
      </c>
      <c r="V215" s="2"/>
      <c r="W215" s="2" t="s">
        <v>70</v>
      </c>
      <c r="X215" s="2" t="s">
        <v>280</v>
      </c>
      <c r="Y215" s="2" t="s">
        <v>281</v>
      </c>
      <c r="Z215" s="2" t="s">
        <v>282</v>
      </c>
      <c r="AA215" s="2"/>
      <c r="AB215" s="3" t="n">
        <v>1442301</v>
      </c>
      <c r="AC215" s="2" t="s">
        <v>66</v>
      </c>
      <c r="AD215" s="2" t="s">
        <v>67</v>
      </c>
      <c r="AE215" s="2" t="s">
        <v>37</v>
      </c>
    </row>
    <row r="216" customFormat="false" ht="15" hidden="false" customHeight="false" outlineLevel="0" collapsed="false">
      <c r="A216" s="2" t="s">
        <v>283</v>
      </c>
      <c r="B216" s="2" t="s">
        <v>284</v>
      </c>
      <c r="C216" s="3" t="n">
        <v>49</v>
      </c>
      <c r="D216" s="2" t="s">
        <v>63</v>
      </c>
      <c r="E216" s="2" t="s">
        <v>64</v>
      </c>
      <c r="F216" s="3" t="n">
        <v>100</v>
      </c>
      <c r="G216" s="2" t="s">
        <v>73</v>
      </c>
      <c r="H216" s="4" t="n">
        <v>1609.5</v>
      </c>
      <c r="I216" s="4" t="n">
        <v>1609.5</v>
      </c>
      <c r="J216" s="5" t="n">
        <v>46185</v>
      </c>
      <c r="K216" s="2"/>
      <c r="L216" s="3" t="n">
        <v>49</v>
      </c>
      <c r="M216" s="3"/>
      <c r="N216" s="3"/>
      <c r="O216" s="3" t="n">
        <v>49</v>
      </c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3" t="n">
        <v>1442301</v>
      </c>
      <c r="AC216" s="2" t="s">
        <v>66</v>
      </c>
      <c r="AD216" s="2" t="s">
        <v>67</v>
      </c>
      <c r="AE216" s="2" t="s">
        <v>37</v>
      </c>
    </row>
    <row r="217" customFormat="false" ht="15" hidden="false" customHeight="false" outlineLevel="0" collapsed="false">
      <c r="A217" s="2" t="s">
        <v>283</v>
      </c>
      <c r="B217" s="2" t="s">
        <v>284</v>
      </c>
      <c r="C217" s="3" t="n">
        <v>49</v>
      </c>
      <c r="D217" s="2" t="s">
        <v>63</v>
      </c>
      <c r="E217" s="2" t="s">
        <v>64</v>
      </c>
      <c r="F217" s="3" t="n">
        <v>100</v>
      </c>
      <c r="G217" s="2" t="s">
        <v>73</v>
      </c>
      <c r="H217" s="4" t="n">
        <v>1609.5</v>
      </c>
      <c r="I217" s="4" t="n">
        <v>1609.5</v>
      </c>
      <c r="J217" s="2"/>
      <c r="K217" s="5" t="n">
        <v>46192</v>
      </c>
      <c r="L217" s="3"/>
      <c r="M217" s="3"/>
      <c r="N217" s="3" t="n">
        <v>1</v>
      </c>
      <c r="O217" s="3" t="n">
        <v>48</v>
      </c>
      <c r="P217" s="2"/>
      <c r="Q217" s="2" t="s">
        <v>68</v>
      </c>
      <c r="R217" s="2" t="s">
        <v>69</v>
      </c>
      <c r="S217" s="5" t="n">
        <v>46192</v>
      </c>
      <c r="T217" s="2" t="s">
        <v>51</v>
      </c>
      <c r="U217" s="5" t="n">
        <v>46192</v>
      </c>
      <c r="V217" s="2"/>
      <c r="W217" s="2" t="s">
        <v>70</v>
      </c>
      <c r="X217" s="2" t="s">
        <v>285</v>
      </c>
      <c r="Y217" s="2" t="s">
        <v>286</v>
      </c>
      <c r="Z217" s="2" t="s">
        <v>287</v>
      </c>
      <c r="AA217" s="2"/>
      <c r="AB217" s="3" t="n">
        <v>1442301</v>
      </c>
      <c r="AC217" s="2" t="s">
        <v>66</v>
      </c>
      <c r="AD217" s="2" t="s">
        <v>67</v>
      </c>
      <c r="AE217" s="2" t="s">
        <v>37</v>
      </c>
    </row>
    <row r="218" customFormat="false" ht="15" hidden="false" customHeight="false" outlineLevel="0" collapsed="false">
      <c r="A218" s="2" t="s">
        <v>288</v>
      </c>
      <c r="B218" s="2" t="s">
        <v>289</v>
      </c>
      <c r="C218" s="3" t="n">
        <v>97</v>
      </c>
      <c r="D218" s="2" t="s">
        <v>63</v>
      </c>
      <c r="E218" s="2" t="s">
        <v>64</v>
      </c>
      <c r="F218" s="3" t="n">
        <v>100</v>
      </c>
      <c r="G218" s="2" t="s">
        <v>73</v>
      </c>
      <c r="H218" s="4" t="n">
        <v>940.5</v>
      </c>
      <c r="I218" s="4" t="n">
        <v>940.5</v>
      </c>
      <c r="J218" s="5" t="n">
        <v>46185</v>
      </c>
      <c r="K218" s="2"/>
      <c r="L218" s="3" t="n">
        <v>97</v>
      </c>
      <c r="M218" s="3"/>
      <c r="N218" s="3"/>
      <c r="O218" s="3" t="n">
        <v>97</v>
      </c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7" t="n">
        <v>1442301</v>
      </c>
      <c r="AC218" s="8" t="s">
        <v>66</v>
      </c>
      <c r="AD218" s="8" t="s">
        <v>67</v>
      </c>
      <c r="AE218" s="8" t="s">
        <v>275</v>
      </c>
    </row>
    <row r="219" customFormat="false" ht="15" hidden="false" customHeight="false" outlineLevel="0" collapsed="false">
      <c r="A219" s="2" t="s">
        <v>288</v>
      </c>
      <c r="B219" s="2" t="s">
        <v>289</v>
      </c>
      <c r="C219" s="3" t="n">
        <v>97</v>
      </c>
      <c r="D219" s="2" t="s">
        <v>63</v>
      </c>
      <c r="E219" s="2" t="s">
        <v>64</v>
      </c>
      <c r="F219" s="3" t="n">
        <v>100</v>
      </c>
      <c r="G219" s="2" t="s">
        <v>73</v>
      </c>
      <c r="H219" s="4" t="n">
        <v>940.5</v>
      </c>
      <c r="I219" s="4" t="n">
        <v>940.5</v>
      </c>
      <c r="J219" s="2"/>
      <c r="K219" s="5" t="n">
        <v>46192</v>
      </c>
      <c r="L219" s="3"/>
      <c r="M219" s="3"/>
      <c r="N219" s="3" t="n">
        <v>1</v>
      </c>
      <c r="O219" s="3"/>
      <c r="P219" s="2"/>
      <c r="Q219" s="2" t="s">
        <v>68</v>
      </c>
      <c r="R219" s="2" t="s">
        <v>69</v>
      </c>
      <c r="S219" s="5" t="n">
        <v>46192</v>
      </c>
      <c r="T219" s="2" t="s">
        <v>51</v>
      </c>
      <c r="U219" s="5" t="n">
        <v>46192</v>
      </c>
      <c r="V219" s="2"/>
      <c r="W219" s="2" t="s">
        <v>70</v>
      </c>
      <c r="X219" s="2" t="s">
        <v>290</v>
      </c>
      <c r="Y219" s="2" t="s">
        <v>291</v>
      </c>
      <c r="Z219" s="2" t="s">
        <v>292</v>
      </c>
      <c r="AA219" s="2"/>
      <c r="AB219" s="7" t="n">
        <v>1442301</v>
      </c>
      <c r="AC219" s="8" t="s">
        <v>66</v>
      </c>
      <c r="AD219" s="8" t="s">
        <v>67</v>
      </c>
      <c r="AE219" s="8" t="s">
        <v>275</v>
      </c>
    </row>
    <row r="220" customFormat="false" ht="15" hidden="false" customHeight="false" outlineLevel="0" collapsed="false">
      <c r="A220" s="2" t="s">
        <v>293</v>
      </c>
      <c r="B220" s="2" t="s">
        <v>294</v>
      </c>
      <c r="C220" s="3" t="n">
        <v>140</v>
      </c>
      <c r="D220" s="2" t="s">
        <v>63</v>
      </c>
      <c r="E220" s="2" t="s">
        <v>64</v>
      </c>
      <c r="F220" s="3" t="n">
        <v>50</v>
      </c>
      <c r="G220" s="2" t="s">
        <v>73</v>
      </c>
      <c r="H220" s="4" t="n">
        <v>1292.5</v>
      </c>
      <c r="I220" s="4" t="n">
        <v>1292.5</v>
      </c>
      <c r="J220" s="5" t="n">
        <v>46185</v>
      </c>
      <c r="K220" s="2"/>
      <c r="L220" s="3" t="n">
        <v>140</v>
      </c>
      <c r="M220" s="3"/>
      <c r="N220" s="3"/>
      <c r="O220" s="3" t="n">
        <v>140</v>
      </c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3" t="n">
        <v>1442301</v>
      </c>
      <c r="AC220" s="2" t="s">
        <v>66</v>
      </c>
      <c r="AD220" s="2" t="s">
        <v>67</v>
      </c>
      <c r="AE220" s="2" t="s">
        <v>37</v>
      </c>
    </row>
    <row r="221" customFormat="false" ht="15" hidden="false" customHeight="false" outlineLevel="0" collapsed="false">
      <c r="A221" s="2" t="s">
        <v>293</v>
      </c>
      <c r="B221" s="2" t="s">
        <v>294</v>
      </c>
      <c r="C221" s="3" t="n">
        <v>140</v>
      </c>
      <c r="D221" s="2" t="s">
        <v>63</v>
      </c>
      <c r="E221" s="2" t="s">
        <v>64</v>
      </c>
      <c r="F221" s="3" t="n">
        <v>50</v>
      </c>
      <c r="G221" s="2" t="s">
        <v>73</v>
      </c>
      <c r="H221" s="4" t="n">
        <v>1292.5</v>
      </c>
      <c r="I221" s="4" t="n">
        <v>1292.5</v>
      </c>
      <c r="J221" s="2"/>
      <c r="K221" s="5" t="n">
        <v>46192</v>
      </c>
      <c r="L221" s="3"/>
      <c r="M221" s="3"/>
      <c r="N221" s="3" t="n">
        <v>1</v>
      </c>
      <c r="O221" s="3" t="n">
        <v>139</v>
      </c>
      <c r="P221" s="2"/>
      <c r="Q221" s="2" t="s">
        <v>68</v>
      </c>
      <c r="R221" s="2" t="s">
        <v>69</v>
      </c>
      <c r="S221" s="5" t="n">
        <v>46192</v>
      </c>
      <c r="T221" s="2" t="s">
        <v>51</v>
      </c>
      <c r="U221" s="5" t="n">
        <v>46192</v>
      </c>
      <c r="V221" s="2"/>
      <c r="W221" s="2" t="s">
        <v>70</v>
      </c>
      <c r="X221" s="2" t="s">
        <v>295</v>
      </c>
      <c r="Y221" s="2" t="s">
        <v>296</v>
      </c>
      <c r="Z221" s="2" t="s">
        <v>297</v>
      </c>
      <c r="AA221" s="2"/>
      <c r="AB221" s="3" t="n">
        <v>1442301</v>
      </c>
      <c r="AC221" s="2" t="s">
        <v>66</v>
      </c>
      <c r="AD221" s="2" t="s">
        <v>67</v>
      </c>
      <c r="AE221" s="2" t="s">
        <v>37</v>
      </c>
    </row>
    <row r="222" customFormat="false" ht="15" hidden="false" customHeight="false" outlineLevel="0" collapsed="false">
      <c r="A222" s="2" t="s">
        <v>298</v>
      </c>
      <c r="B222" s="2" t="s">
        <v>299</v>
      </c>
      <c r="C222" s="3" t="n">
        <v>600</v>
      </c>
      <c r="D222" s="2" t="s">
        <v>266</v>
      </c>
      <c r="E222" s="2" t="s">
        <v>267</v>
      </c>
      <c r="F222" s="3" t="n">
        <v>25</v>
      </c>
      <c r="G222" s="2" t="s">
        <v>73</v>
      </c>
      <c r="H222" s="4" t="n">
        <v>11093.35</v>
      </c>
      <c r="I222" s="4" t="n">
        <v>11093.35</v>
      </c>
      <c r="J222" s="5" t="n">
        <v>46185</v>
      </c>
      <c r="K222" s="2"/>
      <c r="L222" s="3" t="n">
        <v>600</v>
      </c>
      <c r="M222" s="3"/>
      <c r="N222" s="3"/>
      <c r="O222" s="3" t="n">
        <v>600</v>
      </c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3" t="n">
        <v>1442105</v>
      </c>
      <c r="AC222" s="2" t="s">
        <v>300</v>
      </c>
      <c r="AD222" s="2" t="s">
        <v>301</v>
      </c>
      <c r="AE222" s="2" t="s">
        <v>37</v>
      </c>
    </row>
    <row r="223" customFormat="false" ht="15" hidden="false" customHeight="false" outlineLevel="0" collapsed="false">
      <c r="A223" s="2" t="s">
        <v>298</v>
      </c>
      <c r="B223" s="2" t="s">
        <v>299</v>
      </c>
      <c r="C223" s="3" t="n">
        <v>600</v>
      </c>
      <c r="D223" s="2" t="s">
        <v>266</v>
      </c>
      <c r="E223" s="2" t="s">
        <v>267</v>
      </c>
      <c r="F223" s="3" t="n">
        <v>25</v>
      </c>
      <c r="G223" s="2" t="s">
        <v>73</v>
      </c>
      <c r="H223" s="4" t="n">
        <v>11093.35</v>
      </c>
      <c r="I223" s="4" t="n">
        <v>11093.35</v>
      </c>
      <c r="J223" s="2"/>
      <c r="K223" s="5" t="n">
        <v>46192</v>
      </c>
      <c r="L223" s="3"/>
      <c r="M223" s="3"/>
      <c r="N223" s="3" t="n">
        <v>20</v>
      </c>
      <c r="O223" s="3" t="n">
        <v>580</v>
      </c>
      <c r="P223" s="2" t="s">
        <v>82</v>
      </c>
      <c r="Q223" s="2" t="s">
        <v>83</v>
      </c>
      <c r="R223" s="2" t="s">
        <v>84</v>
      </c>
      <c r="S223" s="5" t="n">
        <v>46192</v>
      </c>
      <c r="T223" s="2" t="s">
        <v>51</v>
      </c>
      <c r="U223" s="5" t="n">
        <v>46192</v>
      </c>
      <c r="V223" s="2"/>
      <c r="W223" s="2"/>
      <c r="X223" s="2"/>
      <c r="Y223" s="2"/>
      <c r="Z223" s="2" t="s">
        <v>302</v>
      </c>
      <c r="AA223" s="2"/>
      <c r="AB223" s="3" t="n">
        <v>1442105</v>
      </c>
      <c r="AC223" s="2" t="s">
        <v>300</v>
      </c>
      <c r="AD223" s="2" t="s">
        <v>301</v>
      </c>
      <c r="AE223" s="2" t="s">
        <v>37</v>
      </c>
    </row>
    <row r="224" customFormat="false" ht="15" hidden="false" customHeight="false" outlineLevel="0" collapsed="false">
      <c r="A224" s="2" t="s">
        <v>298</v>
      </c>
      <c r="B224" s="2" t="s">
        <v>299</v>
      </c>
      <c r="C224" s="3" t="n">
        <v>600</v>
      </c>
      <c r="D224" s="2" t="s">
        <v>266</v>
      </c>
      <c r="E224" s="2" t="s">
        <v>267</v>
      </c>
      <c r="F224" s="3" t="n">
        <v>25</v>
      </c>
      <c r="G224" s="2" t="s">
        <v>73</v>
      </c>
      <c r="H224" s="4" t="n">
        <v>11093.35</v>
      </c>
      <c r="I224" s="4" t="n">
        <v>11093.35</v>
      </c>
      <c r="J224" s="2"/>
      <c r="K224" s="5" t="n">
        <v>46204</v>
      </c>
      <c r="L224" s="3"/>
      <c r="M224" s="3"/>
      <c r="N224" s="3" t="n">
        <v>20</v>
      </c>
      <c r="O224" s="3" t="n">
        <v>560</v>
      </c>
      <c r="P224" s="2" t="s">
        <v>95</v>
      </c>
      <c r="Q224" s="2" t="s">
        <v>146</v>
      </c>
      <c r="R224" s="2" t="s">
        <v>97</v>
      </c>
      <c r="S224" s="5" t="n">
        <v>46205</v>
      </c>
      <c r="T224" s="2" t="s">
        <v>55</v>
      </c>
      <c r="U224" s="2"/>
      <c r="V224" s="2" t="s">
        <v>98</v>
      </c>
      <c r="W224" s="2" t="s">
        <v>99</v>
      </c>
      <c r="X224" s="2" t="s">
        <v>303</v>
      </c>
      <c r="Y224" s="2" t="s">
        <v>304</v>
      </c>
      <c r="Z224" s="2" t="s">
        <v>100</v>
      </c>
      <c r="AA224" s="2" t="s">
        <v>101</v>
      </c>
      <c r="AB224" s="3" t="n">
        <v>1442105</v>
      </c>
      <c r="AC224" s="2" t="s">
        <v>300</v>
      </c>
      <c r="AD224" s="2" t="s">
        <v>301</v>
      </c>
      <c r="AE224" s="2" t="s">
        <v>37</v>
      </c>
    </row>
    <row r="225" customFormat="false" ht="15" hidden="false" customHeight="false" outlineLevel="0" collapsed="false">
      <c r="A225" s="2" t="s">
        <v>305</v>
      </c>
      <c r="B225" s="2" t="s">
        <v>306</v>
      </c>
      <c r="C225" s="3" t="n">
        <v>400</v>
      </c>
      <c r="D225" s="2" t="s">
        <v>63</v>
      </c>
      <c r="E225" s="2" t="s">
        <v>267</v>
      </c>
      <c r="F225" s="3" t="n">
        <v>25</v>
      </c>
      <c r="G225" s="2" t="s">
        <v>73</v>
      </c>
      <c r="H225" s="4" t="n">
        <v>3478.5</v>
      </c>
      <c r="I225" s="4" t="n">
        <v>3478.5</v>
      </c>
      <c r="J225" s="5" t="n">
        <v>46185</v>
      </c>
      <c r="K225" s="2"/>
      <c r="L225" s="3" t="n">
        <v>400</v>
      </c>
      <c r="M225" s="3"/>
      <c r="N225" s="3"/>
      <c r="O225" s="3" t="n">
        <v>400</v>
      </c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3" t="n">
        <v>1442105</v>
      </c>
      <c r="AC225" s="2" t="s">
        <v>300</v>
      </c>
      <c r="AD225" s="2" t="s">
        <v>301</v>
      </c>
      <c r="AE225" s="2" t="s">
        <v>37</v>
      </c>
    </row>
    <row r="226" customFormat="false" ht="15" hidden="false" customHeight="false" outlineLevel="0" collapsed="false">
      <c r="A226" s="2" t="s">
        <v>305</v>
      </c>
      <c r="B226" s="2" t="s">
        <v>307</v>
      </c>
      <c r="C226" s="3" t="n">
        <v>31</v>
      </c>
      <c r="D226" s="2" t="s">
        <v>63</v>
      </c>
      <c r="E226" s="2" t="s">
        <v>267</v>
      </c>
      <c r="F226" s="3" t="n">
        <v>25</v>
      </c>
      <c r="G226" s="2" t="s">
        <v>73</v>
      </c>
      <c r="H226" s="4" t="n">
        <v>3478.5</v>
      </c>
      <c r="I226" s="4" t="n">
        <v>3478.5</v>
      </c>
      <c r="J226" s="5" t="n">
        <v>46185</v>
      </c>
      <c r="K226" s="2"/>
      <c r="L226" s="3" t="n">
        <v>31</v>
      </c>
      <c r="M226" s="3"/>
      <c r="N226" s="3"/>
      <c r="O226" s="3" t="n">
        <v>31</v>
      </c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3" t="n">
        <v>1442105</v>
      </c>
      <c r="AC226" s="2" t="s">
        <v>300</v>
      </c>
      <c r="AD226" s="2" t="s">
        <v>301</v>
      </c>
      <c r="AE226" s="2" t="s">
        <v>37</v>
      </c>
    </row>
    <row r="227" customFormat="false" ht="15" hidden="false" customHeight="false" outlineLevel="0" collapsed="false">
      <c r="A227" s="2" t="s">
        <v>305</v>
      </c>
      <c r="B227" s="2" t="s">
        <v>308</v>
      </c>
      <c r="C227" s="3" t="n">
        <v>300</v>
      </c>
      <c r="D227" s="2" t="s">
        <v>63</v>
      </c>
      <c r="E227" s="2" t="s">
        <v>267</v>
      </c>
      <c r="F227" s="3" t="n">
        <v>25</v>
      </c>
      <c r="G227" s="2" t="s">
        <v>73</v>
      </c>
      <c r="H227" s="4" t="n">
        <v>3478.5</v>
      </c>
      <c r="I227" s="4" t="n">
        <v>3478.5</v>
      </c>
      <c r="J227" s="5" t="n">
        <v>46185</v>
      </c>
      <c r="K227" s="2"/>
      <c r="L227" s="3" t="n">
        <v>300</v>
      </c>
      <c r="M227" s="3"/>
      <c r="N227" s="3"/>
      <c r="O227" s="3" t="n">
        <v>300</v>
      </c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3" t="n">
        <v>1442105</v>
      </c>
      <c r="AC227" s="2" t="s">
        <v>300</v>
      </c>
      <c r="AD227" s="2" t="s">
        <v>301</v>
      </c>
      <c r="AE227" s="2" t="s">
        <v>37</v>
      </c>
    </row>
    <row r="228" customFormat="false" ht="15" hidden="false" customHeight="false" outlineLevel="0" collapsed="false">
      <c r="A228" s="2" t="s">
        <v>309</v>
      </c>
      <c r="B228" s="2" t="s">
        <v>310</v>
      </c>
      <c r="C228" s="3" t="n">
        <v>135</v>
      </c>
      <c r="D228" s="2" t="s">
        <v>63</v>
      </c>
      <c r="E228" s="2" t="s">
        <v>267</v>
      </c>
      <c r="F228" s="3" t="n">
        <v>50</v>
      </c>
      <c r="G228" s="2" t="s">
        <v>65</v>
      </c>
      <c r="H228" s="4" t="n">
        <v>1803.75</v>
      </c>
      <c r="I228" s="4" t="n">
        <v>1803.75</v>
      </c>
      <c r="J228" s="5" t="n">
        <v>46185</v>
      </c>
      <c r="K228" s="2"/>
      <c r="L228" s="3" t="n">
        <v>135</v>
      </c>
      <c r="M228" s="3"/>
      <c r="N228" s="3"/>
      <c r="O228" s="3" t="n">
        <v>135</v>
      </c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3" t="n">
        <v>1442103</v>
      </c>
      <c r="AC228" s="2" t="s">
        <v>311</v>
      </c>
      <c r="AD228" s="2" t="s">
        <v>312</v>
      </c>
      <c r="AE228" s="2" t="s">
        <v>37</v>
      </c>
    </row>
    <row r="229" customFormat="false" ht="15" hidden="false" customHeight="false" outlineLevel="0" collapsed="false">
      <c r="A229" s="2" t="s">
        <v>313</v>
      </c>
      <c r="B229" s="2" t="s">
        <v>314</v>
      </c>
      <c r="C229" s="3" t="n">
        <v>73</v>
      </c>
      <c r="D229" s="2" t="s">
        <v>63</v>
      </c>
      <c r="E229" s="2" t="s">
        <v>64</v>
      </c>
      <c r="F229" s="3" t="n">
        <v>100</v>
      </c>
      <c r="G229" s="2" t="s">
        <v>73</v>
      </c>
      <c r="H229" s="4" t="n">
        <v>77</v>
      </c>
      <c r="I229" s="4" t="n">
        <v>77</v>
      </c>
      <c r="J229" s="5" t="n">
        <v>46185</v>
      </c>
      <c r="K229" s="2"/>
      <c r="L229" s="3" t="n">
        <v>73</v>
      </c>
      <c r="M229" s="3"/>
      <c r="N229" s="3"/>
      <c r="O229" s="3" t="n">
        <v>73</v>
      </c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3" t="n">
        <v>1442301</v>
      </c>
      <c r="AC229" s="2" t="s">
        <v>66</v>
      </c>
      <c r="AD229" s="2" t="s">
        <v>67</v>
      </c>
      <c r="AE229" s="2" t="s">
        <v>37</v>
      </c>
    </row>
    <row r="230" customFormat="false" ht="15" hidden="false" customHeight="false" outlineLevel="0" collapsed="false">
      <c r="A230" s="2" t="s">
        <v>313</v>
      </c>
      <c r="B230" s="2" t="s">
        <v>314</v>
      </c>
      <c r="C230" s="3" t="n">
        <v>73</v>
      </c>
      <c r="D230" s="2" t="s">
        <v>63</v>
      </c>
      <c r="E230" s="2" t="s">
        <v>64</v>
      </c>
      <c r="F230" s="3" t="n">
        <v>100</v>
      </c>
      <c r="G230" s="2" t="s">
        <v>73</v>
      </c>
      <c r="H230" s="4" t="n">
        <v>77</v>
      </c>
      <c r="I230" s="4" t="n">
        <v>77</v>
      </c>
      <c r="J230" s="2"/>
      <c r="K230" s="5" t="n">
        <v>46192</v>
      </c>
      <c r="L230" s="3"/>
      <c r="M230" s="3"/>
      <c r="N230" s="3" t="n">
        <v>1</v>
      </c>
      <c r="O230" s="3" t="n">
        <v>72</v>
      </c>
      <c r="P230" s="2"/>
      <c r="Q230" s="2" t="s">
        <v>68</v>
      </c>
      <c r="R230" s="2" t="s">
        <v>69</v>
      </c>
      <c r="S230" s="5" t="n">
        <v>46192</v>
      </c>
      <c r="T230" s="2" t="s">
        <v>51</v>
      </c>
      <c r="U230" s="5" t="n">
        <v>46192</v>
      </c>
      <c r="V230" s="2"/>
      <c r="W230" s="2" t="s">
        <v>70</v>
      </c>
      <c r="X230" s="2"/>
      <c r="Y230" s="2"/>
      <c r="Z230" s="2"/>
      <c r="AA230" s="2"/>
      <c r="AB230" s="3" t="n">
        <v>1442301</v>
      </c>
      <c r="AC230" s="2" t="s">
        <v>66</v>
      </c>
      <c r="AD230" s="2" t="s">
        <v>67</v>
      </c>
      <c r="AE230" s="2" t="s">
        <v>37</v>
      </c>
    </row>
    <row r="231" customFormat="false" ht="15" hidden="false" customHeight="false" outlineLevel="0" collapsed="false">
      <c r="A231" s="2" t="s">
        <v>315</v>
      </c>
      <c r="B231" s="2" t="s">
        <v>316</v>
      </c>
      <c r="C231" s="3" t="n">
        <v>1</v>
      </c>
      <c r="D231" s="2" t="s">
        <v>63</v>
      </c>
      <c r="E231" s="2" t="s">
        <v>64</v>
      </c>
      <c r="F231" s="3" t="n">
        <v>100</v>
      </c>
      <c r="G231" s="2" t="s">
        <v>73</v>
      </c>
      <c r="H231" s="4" t="n">
        <v>192.5</v>
      </c>
      <c r="I231" s="4" t="n">
        <v>192.5</v>
      </c>
      <c r="J231" s="5" t="n">
        <v>46185</v>
      </c>
      <c r="K231" s="2"/>
      <c r="L231" s="3" t="n">
        <v>1</v>
      </c>
      <c r="M231" s="3"/>
      <c r="N231" s="3"/>
      <c r="O231" s="3" t="n">
        <v>1</v>
      </c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3" t="n">
        <v>1442301</v>
      </c>
      <c r="AC231" s="2" t="s">
        <v>66</v>
      </c>
      <c r="AD231" s="2" t="s">
        <v>67</v>
      </c>
      <c r="AE231" s="2" t="s">
        <v>37</v>
      </c>
    </row>
    <row r="232" customFormat="false" ht="15" hidden="false" customHeight="false" outlineLevel="0" collapsed="false">
      <c r="A232" s="2" t="s">
        <v>315</v>
      </c>
      <c r="B232" s="2" t="s">
        <v>316</v>
      </c>
      <c r="C232" s="3" t="n">
        <v>1</v>
      </c>
      <c r="D232" s="2" t="s">
        <v>63</v>
      </c>
      <c r="E232" s="2" t="s">
        <v>64</v>
      </c>
      <c r="F232" s="3" t="n">
        <v>100</v>
      </c>
      <c r="G232" s="2" t="s">
        <v>73</v>
      </c>
      <c r="H232" s="4" t="n">
        <v>192.5</v>
      </c>
      <c r="I232" s="4" t="n">
        <v>192.5</v>
      </c>
      <c r="J232" s="2"/>
      <c r="K232" s="5" t="n">
        <v>46192</v>
      </c>
      <c r="L232" s="3"/>
      <c r="M232" s="3"/>
      <c r="N232" s="3" t="n">
        <v>1</v>
      </c>
      <c r="O232" s="3"/>
      <c r="P232" s="2"/>
      <c r="Q232" s="2" t="s">
        <v>68</v>
      </c>
      <c r="R232" s="2" t="s">
        <v>69</v>
      </c>
      <c r="S232" s="5" t="n">
        <v>46192</v>
      </c>
      <c r="T232" s="2" t="s">
        <v>51</v>
      </c>
      <c r="U232" s="5" t="n">
        <v>46192</v>
      </c>
      <c r="V232" s="2"/>
      <c r="W232" s="2" t="s">
        <v>70</v>
      </c>
      <c r="X232" s="2"/>
      <c r="Y232" s="2"/>
      <c r="Z232" s="2"/>
      <c r="AA232" s="2"/>
      <c r="AB232" s="3" t="n">
        <v>1442301</v>
      </c>
      <c r="AC232" s="2" t="s">
        <v>66</v>
      </c>
      <c r="AD232" s="2" t="s">
        <v>67</v>
      </c>
      <c r="AE232" s="2" t="s">
        <v>37</v>
      </c>
    </row>
    <row r="233" customFormat="false" ht="15" hidden="false" customHeight="false" outlineLevel="0" collapsed="false">
      <c r="A233" s="2" t="s">
        <v>315</v>
      </c>
      <c r="B233" s="2" t="s">
        <v>316</v>
      </c>
      <c r="C233" s="3" t="n">
        <v>1</v>
      </c>
      <c r="D233" s="2" t="s">
        <v>63</v>
      </c>
      <c r="E233" s="2" t="s">
        <v>64</v>
      </c>
      <c r="F233" s="3" t="n">
        <v>100</v>
      </c>
      <c r="G233" s="2" t="s">
        <v>73</v>
      </c>
      <c r="H233" s="4" t="n">
        <v>192.5</v>
      </c>
      <c r="I233" s="4" t="n">
        <v>192.5</v>
      </c>
      <c r="J233" s="5" t="n">
        <v>46212</v>
      </c>
      <c r="K233" s="2"/>
      <c r="L233" s="3"/>
      <c r="M233" s="3" t="n">
        <v>145</v>
      </c>
      <c r="N233" s="3"/>
      <c r="O233" s="3" t="n">
        <v>145</v>
      </c>
      <c r="P233" s="2" t="s">
        <v>126</v>
      </c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3" t="n">
        <v>1442301</v>
      </c>
      <c r="AC233" s="2" t="s">
        <v>66</v>
      </c>
      <c r="AD233" s="2" t="s">
        <v>67</v>
      </c>
      <c r="AE233" s="2" t="s">
        <v>37</v>
      </c>
    </row>
    <row r="234" customFormat="false" ht="15" hidden="false" customHeight="false" outlineLevel="0" collapsed="false">
      <c r="A234" s="2" t="s">
        <v>317</v>
      </c>
      <c r="B234" s="2" t="s">
        <v>318</v>
      </c>
      <c r="C234" s="3" t="n">
        <v>22</v>
      </c>
      <c r="D234" s="2" t="s">
        <v>104</v>
      </c>
      <c r="E234" s="2" t="s">
        <v>105</v>
      </c>
      <c r="F234" s="3" t="n">
        <v>1000</v>
      </c>
      <c r="G234" s="2" t="s">
        <v>73</v>
      </c>
      <c r="H234" s="4" t="n">
        <v>482.85</v>
      </c>
      <c r="I234" s="4" t="n">
        <v>498168</v>
      </c>
      <c r="J234" s="5" t="n">
        <v>46185</v>
      </c>
      <c r="K234" s="2"/>
      <c r="L234" s="3" t="n">
        <v>22</v>
      </c>
      <c r="M234" s="3"/>
      <c r="N234" s="3"/>
      <c r="O234" s="3" t="n">
        <v>22</v>
      </c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3" t="n">
        <v>1442301</v>
      </c>
      <c r="AC234" s="2" t="s">
        <v>66</v>
      </c>
      <c r="AD234" s="2" t="s">
        <v>67</v>
      </c>
      <c r="AE234" s="2" t="s">
        <v>37</v>
      </c>
    </row>
    <row r="235" customFormat="false" ht="15" hidden="false" customHeight="false" outlineLevel="0" collapsed="false">
      <c r="A235" s="2" t="s">
        <v>317</v>
      </c>
      <c r="B235" s="2" t="s">
        <v>318</v>
      </c>
      <c r="C235" s="3" t="n">
        <v>22</v>
      </c>
      <c r="D235" s="2" t="s">
        <v>104</v>
      </c>
      <c r="E235" s="2" t="s">
        <v>105</v>
      </c>
      <c r="F235" s="3" t="n">
        <v>1000</v>
      </c>
      <c r="G235" s="2" t="s">
        <v>73</v>
      </c>
      <c r="H235" s="4" t="n">
        <v>482.85</v>
      </c>
      <c r="I235" s="4" t="n">
        <v>498168</v>
      </c>
      <c r="J235" s="2"/>
      <c r="K235" s="8" t="s">
        <v>319</v>
      </c>
      <c r="L235" s="3"/>
      <c r="M235" s="3"/>
      <c r="N235" s="3" t="n">
        <v>2</v>
      </c>
      <c r="O235" s="3" t="n">
        <v>20</v>
      </c>
      <c r="P235" s="2" t="s">
        <v>320</v>
      </c>
      <c r="Q235" s="2" t="s">
        <v>321</v>
      </c>
      <c r="R235" s="2" t="s">
        <v>322</v>
      </c>
      <c r="S235" s="5" t="n">
        <v>46205</v>
      </c>
      <c r="T235" s="2" t="s">
        <v>51</v>
      </c>
      <c r="U235" s="5" t="n">
        <v>46205</v>
      </c>
      <c r="V235" s="2" t="s">
        <v>323</v>
      </c>
      <c r="W235" s="2"/>
      <c r="X235" s="2"/>
      <c r="Y235" s="2"/>
      <c r="Z235" s="2"/>
      <c r="AA235" s="2"/>
      <c r="AB235" s="3" t="n">
        <v>1442301</v>
      </c>
      <c r="AC235" s="2" t="s">
        <v>66</v>
      </c>
      <c r="AD235" s="2" t="s">
        <v>67</v>
      </c>
      <c r="AE235" s="2" t="s">
        <v>37</v>
      </c>
    </row>
    <row r="236" customFormat="false" ht="15" hidden="false" customHeight="false" outlineLevel="0" collapsed="false">
      <c r="A236" s="2" t="s">
        <v>324</v>
      </c>
      <c r="B236" s="2" t="s">
        <v>325</v>
      </c>
      <c r="C236" s="3" t="n">
        <v>1</v>
      </c>
      <c r="D236" s="2" t="s">
        <v>63</v>
      </c>
      <c r="E236" s="2" t="s">
        <v>64</v>
      </c>
      <c r="F236" s="3" t="n">
        <v>100</v>
      </c>
      <c r="G236" s="2" t="s">
        <v>73</v>
      </c>
      <c r="H236" s="4" t="n">
        <v>83.25</v>
      </c>
      <c r="I236" s="4" t="n">
        <v>83.25</v>
      </c>
      <c r="J236" s="5" t="n">
        <v>46185</v>
      </c>
      <c r="K236" s="2"/>
      <c r="L236" s="3" t="n">
        <v>1</v>
      </c>
      <c r="M236" s="3"/>
      <c r="N236" s="3"/>
      <c r="O236" s="3" t="n">
        <v>1</v>
      </c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3" t="n">
        <v>1442301</v>
      </c>
      <c r="AC236" s="2" t="s">
        <v>66</v>
      </c>
      <c r="AD236" s="2" t="s">
        <v>67</v>
      </c>
      <c r="AE236" s="2" t="s">
        <v>37</v>
      </c>
    </row>
    <row r="237" customFormat="false" ht="15" hidden="false" customHeight="false" outlineLevel="0" collapsed="false">
      <c r="A237" s="2" t="s">
        <v>324</v>
      </c>
      <c r="B237" s="2" t="s">
        <v>325</v>
      </c>
      <c r="C237" s="3" t="n">
        <v>1</v>
      </c>
      <c r="D237" s="2" t="s">
        <v>63</v>
      </c>
      <c r="E237" s="2" t="s">
        <v>64</v>
      </c>
      <c r="F237" s="3" t="n">
        <v>100</v>
      </c>
      <c r="G237" s="2" t="s">
        <v>73</v>
      </c>
      <c r="H237" s="4" t="n">
        <v>83.25</v>
      </c>
      <c r="I237" s="4" t="n">
        <v>83.25</v>
      </c>
      <c r="J237" s="2"/>
      <c r="K237" s="5" t="n">
        <v>46192</v>
      </c>
      <c r="L237" s="3"/>
      <c r="M237" s="3"/>
      <c r="N237" s="3" t="n">
        <v>1</v>
      </c>
      <c r="O237" s="3"/>
      <c r="P237" s="2"/>
      <c r="Q237" s="2" t="s">
        <v>68</v>
      </c>
      <c r="R237" s="2" t="s">
        <v>69</v>
      </c>
      <c r="S237" s="5" t="n">
        <v>46192</v>
      </c>
      <c r="T237" s="2" t="s">
        <v>51</v>
      </c>
      <c r="U237" s="5" t="n">
        <v>46192</v>
      </c>
      <c r="V237" s="2"/>
      <c r="W237" s="2" t="s">
        <v>70</v>
      </c>
      <c r="X237" s="2"/>
      <c r="Y237" s="2"/>
      <c r="Z237" s="2"/>
      <c r="AA237" s="2"/>
      <c r="AB237" s="3" t="n">
        <v>1442301</v>
      </c>
      <c r="AC237" s="2" t="s">
        <v>66</v>
      </c>
      <c r="AD237" s="2" t="s">
        <v>67</v>
      </c>
      <c r="AE237" s="2" t="s">
        <v>37</v>
      </c>
    </row>
    <row r="238" customFormat="false" ht="15" hidden="false" customHeight="false" outlineLevel="0" collapsed="false">
      <c r="A238" s="2" t="s">
        <v>324</v>
      </c>
      <c r="B238" s="2" t="s">
        <v>325</v>
      </c>
      <c r="C238" s="3" t="n">
        <v>1</v>
      </c>
      <c r="D238" s="2" t="s">
        <v>63</v>
      </c>
      <c r="E238" s="2" t="s">
        <v>64</v>
      </c>
      <c r="F238" s="3" t="n">
        <v>100</v>
      </c>
      <c r="G238" s="2" t="s">
        <v>73</v>
      </c>
      <c r="H238" s="4" t="n">
        <v>83.25</v>
      </c>
      <c r="I238" s="4" t="n">
        <v>83.25</v>
      </c>
      <c r="J238" s="5" t="n">
        <v>46212</v>
      </c>
      <c r="K238" s="2"/>
      <c r="L238" s="3"/>
      <c r="M238" s="3" t="n">
        <v>225</v>
      </c>
      <c r="N238" s="3"/>
      <c r="O238" s="3" t="n">
        <v>225</v>
      </c>
      <c r="P238" s="2" t="s">
        <v>126</v>
      </c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3" t="n">
        <v>1442301</v>
      </c>
      <c r="AC238" s="2" t="s">
        <v>66</v>
      </c>
      <c r="AD238" s="2" t="s">
        <v>67</v>
      </c>
      <c r="AE238" s="2" t="s">
        <v>37</v>
      </c>
    </row>
    <row r="239" customFormat="false" ht="15" hidden="false" customHeight="false" outlineLevel="0" collapsed="false">
      <c r="A239" s="2" t="s">
        <v>324</v>
      </c>
      <c r="B239" s="2" t="s">
        <v>326</v>
      </c>
      <c r="C239" s="3" t="n">
        <v>1</v>
      </c>
      <c r="D239" s="2" t="s">
        <v>63</v>
      </c>
      <c r="E239" s="2" t="s">
        <v>64</v>
      </c>
      <c r="F239" s="3" t="n">
        <v>100</v>
      </c>
      <c r="G239" s="2" t="s">
        <v>73</v>
      </c>
      <c r="H239" s="4" t="n">
        <v>83.25</v>
      </c>
      <c r="I239" s="4" t="n">
        <v>83.25</v>
      </c>
      <c r="J239" s="5" t="n">
        <v>46185</v>
      </c>
      <c r="K239" s="2"/>
      <c r="L239" s="3" t="n">
        <v>5</v>
      </c>
      <c r="M239" s="3"/>
      <c r="N239" s="3"/>
      <c r="O239" s="3" t="n">
        <v>5</v>
      </c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3" t="n">
        <v>1442301</v>
      </c>
      <c r="AC239" s="2" t="s">
        <v>66</v>
      </c>
      <c r="AD239" s="2" t="s">
        <v>67</v>
      </c>
      <c r="AE239" s="2" t="s">
        <v>37</v>
      </c>
    </row>
    <row r="240" customFormat="false" ht="15" hidden="false" customHeight="false" outlineLevel="0" collapsed="false">
      <c r="A240" s="2" t="s">
        <v>327</v>
      </c>
      <c r="B240" s="2" t="s">
        <v>328</v>
      </c>
      <c r="C240" s="3" t="n">
        <v>20</v>
      </c>
      <c r="D240" s="2" t="s">
        <v>63</v>
      </c>
      <c r="E240" s="2" t="s">
        <v>64</v>
      </c>
      <c r="F240" s="3" t="n">
        <v>50</v>
      </c>
      <c r="G240" s="2" t="s">
        <v>73</v>
      </c>
      <c r="H240" s="4" t="n">
        <v>330</v>
      </c>
      <c r="I240" s="4" t="n">
        <v>330</v>
      </c>
      <c r="J240" s="5" t="n">
        <v>46185</v>
      </c>
      <c r="K240" s="2"/>
      <c r="L240" s="3" t="n">
        <v>20</v>
      </c>
      <c r="M240" s="3"/>
      <c r="N240" s="3"/>
      <c r="O240" s="3" t="n">
        <v>20</v>
      </c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3" t="n">
        <v>1442301</v>
      </c>
      <c r="AC240" s="2" t="s">
        <v>66</v>
      </c>
      <c r="AD240" s="2" t="s">
        <v>67</v>
      </c>
      <c r="AE240" s="2" t="s">
        <v>37</v>
      </c>
    </row>
    <row r="241" customFormat="false" ht="15" hidden="false" customHeight="false" outlineLevel="0" collapsed="false">
      <c r="A241" s="2" t="s">
        <v>327</v>
      </c>
      <c r="B241" s="2" t="s">
        <v>328</v>
      </c>
      <c r="C241" s="3" t="n">
        <v>20</v>
      </c>
      <c r="D241" s="2" t="s">
        <v>63</v>
      </c>
      <c r="E241" s="2" t="s">
        <v>64</v>
      </c>
      <c r="F241" s="3" t="n">
        <v>50</v>
      </c>
      <c r="G241" s="2" t="s">
        <v>73</v>
      </c>
      <c r="H241" s="4" t="n">
        <v>330</v>
      </c>
      <c r="I241" s="4" t="n">
        <v>330</v>
      </c>
      <c r="J241" s="2"/>
      <c r="K241" s="5" t="n">
        <v>46192</v>
      </c>
      <c r="L241" s="3"/>
      <c r="M241" s="3"/>
      <c r="N241" s="3" t="n">
        <v>2</v>
      </c>
      <c r="O241" s="3" t="n">
        <v>18</v>
      </c>
      <c r="P241" s="2"/>
      <c r="Q241" s="2" t="s">
        <v>68</v>
      </c>
      <c r="R241" s="2" t="s">
        <v>69</v>
      </c>
      <c r="S241" s="5" t="n">
        <v>46192</v>
      </c>
      <c r="T241" s="2" t="s">
        <v>51</v>
      </c>
      <c r="U241" s="5" t="n">
        <v>46192</v>
      </c>
      <c r="V241" s="2"/>
      <c r="W241" s="2" t="s">
        <v>70</v>
      </c>
      <c r="X241" s="2"/>
      <c r="Y241" s="2"/>
      <c r="Z241" s="2"/>
      <c r="AA241" s="2"/>
      <c r="AB241" s="3" t="n">
        <v>1442301</v>
      </c>
      <c r="AC241" s="2" t="s">
        <v>66</v>
      </c>
      <c r="AD241" s="2" t="s">
        <v>67</v>
      </c>
      <c r="AE241" s="2" t="s">
        <v>37</v>
      </c>
    </row>
    <row r="242" customFormat="false" ht="15" hidden="false" customHeight="false" outlineLevel="0" collapsed="false">
      <c r="A242" s="2" t="s">
        <v>329</v>
      </c>
      <c r="B242" s="2" t="s">
        <v>330</v>
      </c>
      <c r="C242" s="3" t="n">
        <v>3</v>
      </c>
      <c r="D242" s="2" t="s">
        <v>63</v>
      </c>
      <c r="E242" s="2" t="s">
        <v>64</v>
      </c>
      <c r="F242" s="3" t="n">
        <v>100</v>
      </c>
      <c r="G242" s="2" t="s">
        <v>73</v>
      </c>
      <c r="H242" s="4" t="n">
        <v>157.62</v>
      </c>
      <c r="I242" s="4" t="n">
        <v>157.62</v>
      </c>
      <c r="J242" s="5" t="n">
        <v>46185</v>
      </c>
      <c r="K242" s="2"/>
      <c r="L242" s="3" t="n">
        <v>3</v>
      </c>
      <c r="M242" s="3"/>
      <c r="N242" s="3"/>
      <c r="O242" s="3" t="n">
        <v>3</v>
      </c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3" t="n">
        <v>1442301</v>
      </c>
      <c r="AC242" s="2" t="s">
        <v>66</v>
      </c>
      <c r="AD242" s="2" t="s">
        <v>67</v>
      </c>
      <c r="AE242" s="2" t="s">
        <v>37</v>
      </c>
    </row>
    <row r="243" customFormat="false" ht="15" hidden="false" customHeight="false" outlineLevel="0" collapsed="false">
      <c r="A243" s="2" t="s">
        <v>331</v>
      </c>
      <c r="B243" s="2" t="s">
        <v>332</v>
      </c>
      <c r="C243" s="3" t="n">
        <v>62</v>
      </c>
      <c r="D243" s="2" t="s">
        <v>63</v>
      </c>
      <c r="E243" s="2" t="s">
        <v>64</v>
      </c>
      <c r="F243" s="3" t="n">
        <v>100</v>
      </c>
      <c r="G243" s="2" t="s">
        <v>73</v>
      </c>
      <c r="H243" s="4" t="n">
        <v>344.1</v>
      </c>
      <c r="I243" s="4" t="n">
        <v>344.1</v>
      </c>
      <c r="J243" s="5" t="n">
        <v>46185</v>
      </c>
      <c r="K243" s="2"/>
      <c r="L243" s="3" t="n">
        <v>62</v>
      </c>
      <c r="M243" s="3"/>
      <c r="N243" s="3"/>
      <c r="O243" s="3" t="n">
        <v>62</v>
      </c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3" t="n">
        <v>1442301</v>
      </c>
      <c r="AC243" s="2" t="s">
        <v>66</v>
      </c>
      <c r="AD243" s="2" t="s">
        <v>67</v>
      </c>
      <c r="AE243" s="2" t="s">
        <v>37</v>
      </c>
    </row>
    <row r="244" customFormat="false" ht="15" hidden="false" customHeight="false" outlineLevel="0" collapsed="false">
      <c r="A244" s="2" t="s">
        <v>331</v>
      </c>
      <c r="B244" s="2" t="s">
        <v>332</v>
      </c>
      <c r="C244" s="3" t="n">
        <v>62</v>
      </c>
      <c r="D244" s="2" t="s">
        <v>63</v>
      </c>
      <c r="E244" s="2" t="s">
        <v>64</v>
      </c>
      <c r="F244" s="3" t="n">
        <v>100</v>
      </c>
      <c r="G244" s="2" t="s">
        <v>73</v>
      </c>
      <c r="H244" s="4" t="n">
        <v>344.1</v>
      </c>
      <c r="I244" s="4" t="n">
        <v>344.1</v>
      </c>
      <c r="J244" s="2"/>
      <c r="K244" s="5" t="n">
        <v>46192</v>
      </c>
      <c r="L244" s="3"/>
      <c r="M244" s="3"/>
      <c r="N244" s="3" t="n">
        <v>1</v>
      </c>
      <c r="O244" s="3" t="n">
        <v>61</v>
      </c>
      <c r="P244" s="2"/>
      <c r="Q244" s="2" t="s">
        <v>68</v>
      </c>
      <c r="R244" s="2" t="s">
        <v>69</v>
      </c>
      <c r="S244" s="5" t="n">
        <v>46192</v>
      </c>
      <c r="T244" s="2" t="s">
        <v>51</v>
      </c>
      <c r="U244" s="5" t="n">
        <v>46192</v>
      </c>
      <c r="V244" s="2"/>
      <c r="W244" s="2" t="s">
        <v>70</v>
      </c>
      <c r="X244" s="2"/>
      <c r="Y244" s="2"/>
      <c r="Z244" s="2"/>
      <c r="AA244" s="2"/>
      <c r="AB244" s="3" t="n">
        <v>1442301</v>
      </c>
      <c r="AC244" s="2" t="s">
        <v>66</v>
      </c>
      <c r="AD244" s="2" t="s">
        <v>67</v>
      </c>
      <c r="AE244" s="2" t="s">
        <v>37</v>
      </c>
    </row>
    <row r="245" customFormat="false" ht="15" hidden="false" customHeight="false" outlineLevel="0" collapsed="false">
      <c r="A245" s="2" t="s">
        <v>331</v>
      </c>
      <c r="B245" s="2" t="s">
        <v>332</v>
      </c>
      <c r="C245" s="3" t="n">
        <v>62</v>
      </c>
      <c r="D245" s="2" t="s">
        <v>63</v>
      </c>
      <c r="E245" s="2" t="s">
        <v>64</v>
      </c>
      <c r="F245" s="3" t="n">
        <v>100</v>
      </c>
      <c r="G245" s="2" t="s">
        <v>73</v>
      </c>
      <c r="H245" s="4" t="n">
        <v>344.1</v>
      </c>
      <c r="I245" s="4" t="n">
        <v>344.1</v>
      </c>
      <c r="J245" s="5" t="n">
        <v>46185</v>
      </c>
      <c r="K245" s="2"/>
      <c r="L245" s="3" t="n">
        <v>1</v>
      </c>
      <c r="M245" s="3"/>
      <c r="N245" s="3"/>
      <c r="O245" s="3" t="n">
        <v>1</v>
      </c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3" t="n">
        <v>1442301</v>
      </c>
      <c r="AC245" s="2" t="s">
        <v>66</v>
      </c>
      <c r="AD245" s="2" t="s">
        <v>67</v>
      </c>
      <c r="AE245" s="2" t="s">
        <v>37</v>
      </c>
    </row>
    <row r="246" customFormat="false" ht="15" hidden="false" customHeight="false" outlineLevel="0" collapsed="false">
      <c r="A246" s="2" t="s">
        <v>333</v>
      </c>
      <c r="B246" s="2" t="s">
        <v>334</v>
      </c>
      <c r="C246" s="3" t="n">
        <v>583</v>
      </c>
      <c r="D246" s="2" t="s">
        <v>63</v>
      </c>
      <c r="E246" s="2" t="s">
        <v>64</v>
      </c>
      <c r="F246" s="3" t="n">
        <v>100</v>
      </c>
      <c r="G246" s="2" t="s">
        <v>73</v>
      </c>
      <c r="H246" s="4" t="n">
        <v>177.6</v>
      </c>
      <c r="I246" s="4" t="n">
        <v>177.6</v>
      </c>
      <c r="J246" s="5" t="n">
        <v>46185</v>
      </c>
      <c r="K246" s="2"/>
      <c r="L246" s="3" t="n">
        <v>583</v>
      </c>
      <c r="M246" s="3"/>
      <c r="N246" s="3"/>
      <c r="O246" s="3" t="n">
        <v>583</v>
      </c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3" t="n">
        <v>1442301</v>
      </c>
      <c r="AC246" s="2" t="s">
        <v>66</v>
      </c>
      <c r="AD246" s="2" t="s">
        <v>67</v>
      </c>
      <c r="AE246" s="2" t="s">
        <v>37</v>
      </c>
    </row>
    <row r="247" customFormat="false" ht="15" hidden="false" customHeight="false" outlineLevel="0" collapsed="false">
      <c r="A247" s="2" t="s">
        <v>333</v>
      </c>
      <c r="B247" s="2" t="s">
        <v>334</v>
      </c>
      <c r="C247" s="3" t="n">
        <v>583</v>
      </c>
      <c r="D247" s="2" t="s">
        <v>63</v>
      </c>
      <c r="E247" s="2" t="s">
        <v>64</v>
      </c>
      <c r="F247" s="3" t="n">
        <v>100</v>
      </c>
      <c r="G247" s="2" t="s">
        <v>73</v>
      </c>
      <c r="H247" s="4" t="n">
        <v>177.6</v>
      </c>
      <c r="I247" s="4" t="n">
        <v>177.6</v>
      </c>
      <c r="J247" s="2"/>
      <c r="K247" s="5" t="n">
        <v>46192</v>
      </c>
      <c r="L247" s="3"/>
      <c r="M247" s="3"/>
      <c r="N247" s="3" t="n">
        <v>1</v>
      </c>
      <c r="O247" s="3" t="n">
        <v>582</v>
      </c>
      <c r="P247" s="2"/>
      <c r="Q247" s="2" t="s">
        <v>68</v>
      </c>
      <c r="R247" s="2" t="s">
        <v>69</v>
      </c>
      <c r="S247" s="5" t="n">
        <v>46192</v>
      </c>
      <c r="T247" s="2" t="s">
        <v>51</v>
      </c>
      <c r="U247" s="5" t="n">
        <v>46192</v>
      </c>
      <c r="V247" s="2"/>
      <c r="W247" s="2" t="s">
        <v>70</v>
      </c>
      <c r="X247" s="2"/>
      <c r="Y247" s="2"/>
      <c r="Z247" s="2"/>
      <c r="AA247" s="2"/>
      <c r="AB247" s="3" t="n">
        <v>1442301</v>
      </c>
      <c r="AC247" s="2" t="s">
        <v>66</v>
      </c>
      <c r="AD247" s="2" t="s">
        <v>67</v>
      </c>
      <c r="AE247" s="2" t="s">
        <v>37</v>
      </c>
    </row>
    <row r="248" customFormat="false" ht="15" hidden="false" customHeight="false" outlineLevel="0" collapsed="false">
      <c r="A248" s="2" t="s">
        <v>335</v>
      </c>
      <c r="B248" s="2" t="s">
        <v>336</v>
      </c>
      <c r="C248" s="3" t="n">
        <v>341</v>
      </c>
      <c r="D248" s="2" t="s">
        <v>63</v>
      </c>
      <c r="E248" s="2" t="s">
        <v>64</v>
      </c>
      <c r="F248" s="3" t="n">
        <v>100</v>
      </c>
      <c r="G248" s="2" t="s">
        <v>73</v>
      </c>
      <c r="H248" s="4" t="n">
        <v>135.42</v>
      </c>
      <c r="I248" s="4" t="n">
        <v>135.42</v>
      </c>
      <c r="J248" s="5" t="n">
        <v>46185</v>
      </c>
      <c r="K248" s="2"/>
      <c r="L248" s="3" t="n">
        <v>341</v>
      </c>
      <c r="M248" s="3"/>
      <c r="N248" s="3"/>
      <c r="O248" s="3" t="n">
        <v>341</v>
      </c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3" t="n">
        <v>1442301</v>
      </c>
      <c r="AC248" s="2" t="s">
        <v>66</v>
      </c>
      <c r="AD248" s="2" t="s">
        <v>67</v>
      </c>
      <c r="AE248" s="2" t="s">
        <v>37</v>
      </c>
    </row>
    <row r="249" customFormat="false" ht="15" hidden="false" customHeight="false" outlineLevel="0" collapsed="false">
      <c r="A249" s="2" t="s">
        <v>337</v>
      </c>
      <c r="B249" s="2" t="s">
        <v>338</v>
      </c>
      <c r="C249" s="3" t="n">
        <v>161</v>
      </c>
      <c r="D249" s="2" t="s">
        <v>63</v>
      </c>
      <c r="E249" s="2" t="s">
        <v>64</v>
      </c>
      <c r="F249" s="3" t="n">
        <v>100</v>
      </c>
      <c r="G249" s="2" t="s">
        <v>73</v>
      </c>
      <c r="H249" s="4" t="n">
        <v>172.05</v>
      </c>
      <c r="I249" s="4" t="n">
        <v>172.05</v>
      </c>
      <c r="J249" s="5" t="n">
        <v>46185</v>
      </c>
      <c r="K249" s="2"/>
      <c r="L249" s="3" t="n">
        <v>161</v>
      </c>
      <c r="M249" s="3"/>
      <c r="N249" s="3"/>
      <c r="O249" s="3" t="n">
        <v>161</v>
      </c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3" t="n">
        <v>1442301</v>
      </c>
      <c r="AC249" s="2" t="s">
        <v>66</v>
      </c>
      <c r="AD249" s="2" t="s">
        <v>67</v>
      </c>
      <c r="AE249" s="2" t="s">
        <v>37</v>
      </c>
    </row>
    <row r="250" customFormat="false" ht="15" hidden="false" customHeight="false" outlineLevel="0" collapsed="false">
      <c r="A250" s="2" t="s">
        <v>337</v>
      </c>
      <c r="B250" s="2" t="s">
        <v>338</v>
      </c>
      <c r="C250" s="3" t="n">
        <v>161</v>
      </c>
      <c r="D250" s="2" t="s">
        <v>63</v>
      </c>
      <c r="E250" s="2" t="s">
        <v>64</v>
      </c>
      <c r="F250" s="3" t="n">
        <v>100</v>
      </c>
      <c r="G250" s="2" t="s">
        <v>73</v>
      </c>
      <c r="H250" s="4" t="n">
        <v>172.05</v>
      </c>
      <c r="I250" s="4" t="n">
        <v>172.05</v>
      </c>
      <c r="J250" s="2"/>
      <c r="K250" s="5" t="n">
        <v>46192</v>
      </c>
      <c r="L250" s="3"/>
      <c r="M250" s="3"/>
      <c r="N250" s="3" t="n">
        <v>1</v>
      </c>
      <c r="O250" s="3" t="n">
        <v>160</v>
      </c>
      <c r="P250" s="2"/>
      <c r="Q250" s="2" t="s">
        <v>68</v>
      </c>
      <c r="R250" s="2" t="s">
        <v>69</v>
      </c>
      <c r="S250" s="5" t="n">
        <v>46192</v>
      </c>
      <c r="T250" s="2" t="s">
        <v>51</v>
      </c>
      <c r="U250" s="5" t="n">
        <v>46192</v>
      </c>
      <c r="V250" s="2"/>
      <c r="W250" s="2" t="s">
        <v>70</v>
      </c>
      <c r="X250" s="2"/>
      <c r="Y250" s="2"/>
      <c r="Z250" s="2"/>
      <c r="AA250" s="2"/>
      <c r="AB250" s="3" t="n">
        <v>1442301</v>
      </c>
      <c r="AC250" s="2" t="s">
        <v>66</v>
      </c>
      <c r="AD250" s="2" t="s">
        <v>67</v>
      </c>
      <c r="AE250" s="2" t="s">
        <v>37</v>
      </c>
    </row>
    <row r="251" customFormat="false" ht="15" hidden="false" customHeight="false" outlineLevel="0" collapsed="false">
      <c r="A251" s="2" t="s">
        <v>339</v>
      </c>
      <c r="B251" s="2" t="s">
        <v>340</v>
      </c>
      <c r="C251" s="3" t="n">
        <v>100</v>
      </c>
      <c r="D251" s="2" t="s">
        <v>33</v>
      </c>
      <c r="E251" s="2" t="s">
        <v>34</v>
      </c>
      <c r="F251" s="3" t="n">
        <v>50</v>
      </c>
      <c r="G251" s="2" t="s">
        <v>33</v>
      </c>
      <c r="H251" s="4" t="n">
        <v>6660</v>
      </c>
      <c r="I251" s="4" t="n">
        <v>6660</v>
      </c>
      <c r="J251" s="5" t="n">
        <v>46185</v>
      </c>
      <c r="K251" s="2"/>
      <c r="L251" s="3" t="n">
        <v>100</v>
      </c>
      <c r="M251" s="3"/>
      <c r="N251" s="3"/>
      <c r="O251" s="3" t="n">
        <v>100</v>
      </c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3" t="n">
        <v>1442301</v>
      </c>
      <c r="AC251" s="2" t="s">
        <v>66</v>
      </c>
      <c r="AD251" s="2" t="s">
        <v>67</v>
      </c>
      <c r="AE251" s="2" t="s">
        <v>37</v>
      </c>
    </row>
    <row r="252" customFormat="false" ht="15" hidden="false" customHeight="false" outlineLevel="0" collapsed="false">
      <c r="A252" s="2" t="s">
        <v>341</v>
      </c>
      <c r="B252" s="2" t="s">
        <v>342</v>
      </c>
      <c r="C252" s="3" t="n">
        <v>1</v>
      </c>
      <c r="D252" s="2" t="s">
        <v>63</v>
      </c>
      <c r="E252" s="2" t="s">
        <v>64</v>
      </c>
      <c r="F252" s="3" t="n">
        <v>100</v>
      </c>
      <c r="G252" s="2" t="s">
        <v>73</v>
      </c>
      <c r="H252" s="4" t="n">
        <v>157.62</v>
      </c>
      <c r="I252" s="4" t="n">
        <v>157.62</v>
      </c>
      <c r="J252" s="5" t="n">
        <v>46185</v>
      </c>
      <c r="K252" s="2"/>
      <c r="L252" s="3" t="n">
        <v>1</v>
      </c>
      <c r="M252" s="3"/>
      <c r="N252" s="3"/>
      <c r="O252" s="3" t="n">
        <v>1</v>
      </c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3" t="n">
        <v>1442301</v>
      </c>
      <c r="AC252" s="2" t="s">
        <v>66</v>
      </c>
      <c r="AD252" s="2" t="s">
        <v>67</v>
      </c>
      <c r="AE252" s="2" t="s">
        <v>37</v>
      </c>
    </row>
    <row r="253" customFormat="false" ht="15" hidden="false" customHeight="false" outlineLevel="0" collapsed="false">
      <c r="A253" s="2" t="s">
        <v>343</v>
      </c>
      <c r="B253" s="2" t="s">
        <v>344</v>
      </c>
      <c r="C253" s="3" t="n">
        <v>48</v>
      </c>
      <c r="D253" s="2" t="s">
        <v>63</v>
      </c>
      <c r="E253" s="2" t="s">
        <v>64</v>
      </c>
      <c r="F253" s="3" t="n">
        <v>100</v>
      </c>
      <c r="G253" s="2" t="s">
        <v>73</v>
      </c>
      <c r="H253" s="4" t="n">
        <v>455.1</v>
      </c>
      <c r="I253" s="4" t="n">
        <v>455.1</v>
      </c>
      <c r="J253" s="5" t="n">
        <v>46185</v>
      </c>
      <c r="K253" s="2"/>
      <c r="L253" s="3" t="n">
        <v>48</v>
      </c>
      <c r="M253" s="3"/>
      <c r="N253" s="3"/>
      <c r="O253" s="3" t="n">
        <v>48</v>
      </c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3" t="n">
        <v>1442301</v>
      </c>
      <c r="AC253" s="2" t="s">
        <v>66</v>
      </c>
      <c r="AD253" s="2" t="s">
        <v>67</v>
      </c>
      <c r="AE253" s="2" t="s">
        <v>37</v>
      </c>
    </row>
    <row r="254" customFormat="false" ht="15" hidden="false" customHeight="false" outlineLevel="0" collapsed="false">
      <c r="A254" s="2" t="s">
        <v>343</v>
      </c>
      <c r="B254" s="2" t="s">
        <v>344</v>
      </c>
      <c r="C254" s="3" t="n">
        <v>48</v>
      </c>
      <c r="D254" s="2" t="s">
        <v>63</v>
      </c>
      <c r="E254" s="2" t="s">
        <v>64</v>
      </c>
      <c r="F254" s="3" t="n">
        <v>100</v>
      </c>
      <c r="G254" s="2" t="s">
        <v>73</v>
      </c>
      <c r="H254" s="4" t="n">
        <v>455.1</v>
      </c>
      <c r="I254" s="4" t="n">
        <v>455.1</v>
      </c>
      <c r="J254" s="2"/>
      <c r="K254" s="5" t="n">
        <v>46188</v>
      </c>
      <c r="L254" s="3"/>
      <c r="M254" s="3"/>
      <c r="N254" s="3" t="n">
        <v>1</v>
      </c>
      <c r="O254" s="3" t="n">
        <v>47</v>
      </c>
      <c r="P254" s="2" t="s">
        <v>123</v>
      </c>
      <c r="Q254" s="2" t="s">
        <v>124</v>
      </c>
      <c r="R254" s="2" t="s">
        <v>125</v>
      </c>
      <c r="S254" s="5" t="n">
        <v>46190</v>
      </c>
      <c r="T254" s="2" t="s">
        <v>51</v>
      </c>
      <c r="U254" s="5" t="n">
        <v>46192</v>
      </c>
      <c r="V254" s="2"/>
      <c r="W254" s="2"/>
      <c r="X254" s="2"/>
      <c r="Y254" s="2"/>
      <c r="Z254" s="2"/>
      <c r="AA254" s="2"/>
      <c r="AB254" s="3" t="n">
        <v>1442301</v>
      </c>
      <c r="AC254" s="2" t="s">
        <v>66</v>
      </c>
      <c r="AD254" s="2" t="s">
        <v>67</v>
      </c>
      <c r="AE254" s="2" t="s">
        <v>37</v>
      </c>
    </row>
    <row r="255" customFormat="false" ht="15" hidden="false" customHeight="false" outlineLevel="0" collapsed="false">
      <c r="A255" s="2" t="s">
        <v>343</v>
      </c>
      <c r="B255" s="2" t="s">
        <v>344</v>
      </c>
      <c r="C255" s="3" t="n">
        <v>48</v>
      </c>
      <c r="D255" s="2" t="s">
        <v>63</v>
      </c>
      <c r="E255" s="2" t="s">
        <v>64</v>
      </c>
      <c r="F255" s="3" t="n">
        <v>100</v>
      </c>
      <c r="G255" s="2" t="s">
        <v>73</v>
      </c>
      <c r="H255" s="4" t="n">
        <v>455.1</v>
      </c>
      <c r="I255" s="4" t="n">
        <v>455.1</v>
      </c>
      <c r="J255" s="2"/>
      <c r="K255" s="5" t="n">
        <v>46188</v>
      </c>
      <c r="L255" s="3"/>
      <c r="M255" s="3"/>
      <c r="N255" s="3" t="n">
        <v>2</v>
      </c>
      <c r="O255" s="3" t="n">
        <v>45</v>
      </c>
      <c r="P255" s="2" t="s">
        <v>108</v>
      </c>
      <c r="Q255" s="2" t="s">
        <v>109</v>
      </c>
      <c r="R255" s="2" t="s">
        <v>110</v>
      </c>
      <c r="S255" s="5" t="n">
        <v>46191</v>
      </c>
      <c r="T255" s="2" t="s">
        <v>55</v>
      </c>
      <c r="U255" s="5" t="n">
        <v>46192</v>
      </c>
      <c r="V255" s="2" t="s">
        <v>111</v>
      </c>
      <c r="W255" s="2" t="s">
        <v>112</v>
      </c>
      <c r="X255" s="2"/>
      <c r="Y255" s="2"/>
      <c r="Z255" s="2"/>
      <c r="AA255" s="2"/>
      <c r="AB255" s="3" t="n">
        <v>1442301</v>
      </c>
      <c r="AC255" s="2" t="s">
        <v>66</v>
      </c>
      <c r="AD255" s="2" t="s">
        <v>67</v>
      </c>
      <c r="AE255" s="2" t="s">
        <v>37</v>
      </c>
    </row>
    <row r="256" customFormat="false" ht="15" hidden="false" customHeight="false" outlineLevel="0" collapsed="false">
      <c r="A256" s="2" t="s">
        <v>343</v>
      </c>
      <c r="B256" s="2" t="s">
        <v>344</v>
      </c>
      <c r="C256" s="3" t="n">
        <v>48</v>
      </c>
      <c r="D256" s="2" t="s">
        <v>63</v>
      </c>
      <c r="E256" s="2" t="s">
        <v>64</v>
      </c>
      <c r="F256" s="3" t="n">
        <v>100</v>
      </c>
      <c r="G256" s="2" t="s">
        <v>73</v>
      </c>
      <c r="H256" s="4" t="n">
        <v>455.1</v>
      </c>
      <c r="I256" s="4" t="n">
        <v>455.1</v>
      </c>
      <c r="J256" s="2"/>
      <c r="K256" s="5" t="n">
        <v>46192</v>
      </c>
      <c r="L256" s="3"/>
      <c r="M256" s="3"/>
      <c r="N256" s="3" t="n">
        <v>1</v>
      </c>
      <c r="O256" s="3" t="n">
        <v>44</v>
      </c>
      <c r="P256" s="2"/>
      <c r="Q256" s="2" t="s">
        <v>68</v>
      </c>
      <c r="R256" s="2" t="s">
        <v>69</v>
      </c>
      <c r="S256" s="5" t="n">
        <v>46192</v>
      </c>
      <c r="T256" s="2" t="s">
        <v>51</v>
      </c>
      <c r="U256" s="5" t="n">
        <v>46192</v>
      </c>
      <c r="V256" s="2"/>
      <c r="W256" s="2" t="s">
        <v>70</v>
      </c>
      <c r="X256" s="2"/>
      <c r="Y256" s="2"/>
      <c r="Z256" s="2"/>
      <c r="AA256" s="2"/>
      <c r="AB256" s="3" t="n">
        <v>1442301</v>
      </c>
      <c r="AC256" s="2" t="s">
        <v>66</v>
      </c>
      <c r="AD256" s="2" t="s">
        <v>67</v>
      </c>
      <c r="AE256" s="2" t="s">
        <v>37</v>
      </c>
    </row>
    <row r="257" customFormat="false" ht="15" hidden="false" customHeight="false" outlineLevel="0" collapsed="false">
      <c r="A257" s="2" t="s">
        <v>343</v>
      </c>
      <c r="B257" s="2" t="s">
        <v>344</v>
      </c>
      <c r="C257" s="3" t="n">
        <v>48</v>
      </c>
      <c r="D257" s="2" t="s">
        <v>63</v>
      </c>
      <c r="E257" s="2" t="s">
        <v>64</v>
      </c>
      <c r="F257" s="3" t="n">
        <v>100</v>
      </c>
      <c r="G257" s="2" t="s">
        <v>73</v>
      </c>
      <c r="H257" s="4" t="n">
        <v>455.1</v>
      </c>
      <c r="I257" s="4" t="n">
        <v>455.1</v>
      </c>
      <c r="J257" s="2"/>
      <c r="K257" s="5" t="n">
        <v>46205</v>
      </c>
      <c r="L257" s="3"/>
      <c r="M257" s="3"/>
      <c r="N257" s="3" t="n">
        <v>1</v>
      </c>
      <c r="O257" s="3" t="n">
        <v>43</v>
      </c>
      <c r="P257" s="2" t="s">
        <v>85</v>
      </c>
      <c r="Q257" s="2" t="s">
        <v>86</v>
      </c>
      <c r="R257" s="2" t="s">
        <v>87</v>
      </c>
      <c r="S257" s="5" t="n">
        <v>46209</v>
      </c>
      <c r="T257" s="2" t="s">
        <v>51</v>
      </c>
      <c r="U257" s="5" t="n">
        <v>46212</v>
      </c>
      <c r="V257" s="2" t="s">
        <v>88</v>
      </c>
      <c r="W257" s="2" t="s">
        <v>89</v>
      </c>
      <c r="X257" s="2"/>
      <c r="Y257" s="2"/>
      <c r="Z257" s="2"/>
      <c r="AA257" s="2"/>
      <c r="AB257" s="3" t="n">
        <v>1442301</v>
      </c>
      <c r="AC257" s="2" t="s">
        <v>66</v>
      </c>
      <c r="AD257" s="2" t="s">
        <v>67</v>
      </c>
      <c r="AE257" s="2" t="s">
        <v>37</v>
      </c>
    </row>
    <row r="258" customFormat="false" ht="15" hidden="false" customHeight="false" outlineLevel="0" collapsed="false">
      <c r="A258" s="2" t="s">
        <v>345</v>
      </c>
      <c r="B258" s="2" t="s">
        <v>346</v>
      </c>
      <c r="C258" s="3" t="n">
        <v>34</v>
      </c>
      <c r="D258" s="2" t="s">
        <v>63</v>
      </c>
      <c r="E258" s="2" t="s">
        <v>64</v>
      </c>
      <c r="F258" s="3" t="n">
        <v>100</v>
      </c>
      <c r="G258" s="2" t="s">
        <v>73</v>
      </c>
      <c r="H258" s="4" t="n">
        <v>222</v>
      </c>
      <c r="I258" s="4" t="n">
        <v>222</v>
      </c>
      <c r="J258" s="5" t="n">
        <v>46185</v>
      </c>
      <c r="K258" s="2"/>
      <c r="L258" s="3" t="n">
        <v>34</v>
      </c>
      <c r="M258" s="3"/>
      <c r="N258" s="3"/>
      <c r="O258" s="3" t="n">
        <v>34</v>
      </c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3" t="n">
        <v>1442301</v>
      </c>
      <c r="AC258" s="2" t="s">
        <v>66</v>
      </c>
      <c r="AD258" s="2" t="s">
        <v>67</v>
      </c>
      <c r="AE258" s="2" t="s">
        <v>37</v>
      </c>
    </row>
    <row r="259" customFormat="false" ht="15" hidden="false" customHeight="false" outlineLevel="0" collapsed="false">
      <c r="A259" s="2" t="s">
        <v>345</v>
      </c>
      <c r="B259" s="2" t="s">
        <v>346</v>
      </c>
      <c r="C259" s="3" t="n">
        <v>34</v>
      </c>
      <c r="D259" s="2" t="s">
        <v>63</v>
      </c>
      <c r="E259" s="2" t="s">
        <v>64</v>
      </c>
      <c r="F259" s="3" t="n">
        <v>100</v>
      </c>
      <c r="G259" s="2" t="s">
        <v>73</v>
      </c>
      <c r="H259" s="4" t="n">
        <v>222</v>
      </c>
      <c r="I259" s="4" t="n">
        <v>222</v>
      </c>
      <c r="J259" s="2"/>
      <c r="K259" s="5" t="n">
        <v>46188</v>
      </c>
      <c r="L259" s="3"/>
      <c r="M259" s="3"/>
      <c r="N259" s="3" t="n">
        <v>1</v>
      </c>
      <c r="O259" s="3" t="n">
        <v>33</v>
      </c>
      <c r="P259" s="2" t="s">
        <v>123</v>
      </c>
      <c r="Q259" s="2" t="s">
        <v>124</v>
      </c>
      <c r="R259" s="2" t="s">
        <v>125</v>
      </c>
      <c r="S259" s="5" t="n">
        <v>46190</v>
      </c>
      <c r="T259" s="2" t="s">
        <v>51</v>
      </c>
      <c r="U259" s="5" t="n">
        <v>46192</v>
      </c>
      <c r="V259" s="2"/>
      <c r="W259" s="2"/>
      <c r="X259" s="2"/>
      <c r="Y259" s="2"/>
      <c r="Z259" s="2"/>
      <c r="AA259" s="2"/>
      <c r="AB259" s="3" t="n">
        <v>1442301</v>
      </c>
      <c r="AC259" s="2" t="s">
        <v>66</v>
      </c>
      <c r="AD259" s="2" t="s">
        <v>67</v>
      </c>
      <c r="AE259" s="2" t="s">
        <v>37</v>
      </c>
    </row>
    <row r="260" customFormat="false" ht="15" hidden="false" customHeight="false" outlineLevel="0" collapsed="false">
      <c r="A260" s="2" t="s">
        <v>345</v>
      </c>
      <c r="B260" s="2" t="s">
        <v>346</v>
      </c>
      <c r="C260" s="3" t="n">
        <v>34</v>
      </c>
      <c r="D260" s="2" t="s">
        <v>63</v>
      </c>
      <c r="E260" s="2" t="s">
        <v>64</v>
      </c>
      <c r="F260" s="3" t="n">
        <v>100</v>
      </c>
      <c r="G260" s="2" t="s">
        <v>73</v>
      </c>
      <c r="H260" s="4" t="n">
        <v>222</v>
      </c>
      <c r="I260" s="4" t="n">
        <v>222</v>
      </c>
      <c r="J260" s="2"/>
      <c r="K260" s="5" t="n">
        <v>46188</v>
      </c>
      <c r="L260" s="3"/>
      <c r="M260" s="3"/>
      <c r="N260" s="3" t="n">
        <v>2</v>
      </c>
      <c r="O260" s="3" t="n">
        <v>31</v>
      </c>
      <c r="P260" s="2" t="s">
        <v>108</v>
      </c>
      <c r="Q260" s="2" t="s">
        <v>109</v>
      </c>
      <c r="R260" s="2" t="s">
        <v>110</v>
      </c>
      <c r="S260" s="5" t="n">
        <v>46191</v>
      </c>
      <c r="T260" s="2" t="s">
        <v>55</v>
      </c>
      <c r="U260" s="5" t="n">
        <v>46192</v>
      </c>
      <c r="V260" s="2" t="s">
        <v>111</v>
      </c>
      <c r="W260" s="2" t="s">
        <v>112</v>
      </c>
      <c r="X260" s="2"/>
      <c r="Y260" s="2"/>
      <c r="Z260" s="2"/>
      <c r="AA260" s="2"/>
      <c r="AB260" s="3" t="n">
        <v>1442301</v>
      </c>
      <c r="AC260" s="2" t="s">
        <v>66</v>
      </c>
      <c r="AD260" s="2" t="s">
        <v>67</v>
      </c>
      <c r="AE260" s="2" t="s">
        <v>37</v>
      </c>
    </row>
    <row r="261" customFormat="false" ht="15" hidden="false" customHeight="false" outlineLevel="0" collapsed="false">
      <c r="A261" s="2" t="s">
        <v>345</v>
      </c>
      <c r="B261" s="2" t="s">
        <v>346</v>
      </c>
      <c r="C261" s="3" t="n">
        <v>34</v>
      </c>
      <c r="D261" s="2" t="s">
        <v>63</v>
      </c>
      <c r="E261" s="2" t="s">
        <v>64</v>
      </c>
      <c r="F261" s="3" t="n">
        <v>100</v>
      </c>
      <c r="G261" s="2" t="s">
        <v>73</v>
      </c>
      <c r="H261" s="4" t="n">
        <v>222</v>
      </c>
      <c r="I261" s="4" t="n">
        <v>222</v>
      </c>
      <c r="J261" s="2"/>
      <c r="K261" s="5" t="n">
        <v>46192</v>
      </c>
      <c r="L261" s="3"/>
      <c r="M261" s="3"/>
      <c r="N261" s="3" t="n">
        <v>1</v>
      </c>
      <c r="O261" s="3" t="n">
        <v>32</v>
      </c>
      <c r="P261" s="2"/>
      <c r="Q261" s="2" t="s">
        <v>68</v>
      </c>
      <c r="R261" s="2" t="s">
        <v>69</v>
      </c>
      <c r="S261" s="5" t="n">
        <v>46192</v>
      </c>
      <c r="T261" s="2" t="s">
        <v>51</v>
      </c>
      <c r="U261" s="5" t="n">
        <v>46192</v>
      </c>
      <c r="V261" s="2"/>
      <c r="W261" s="2" t="s">
        <v>70</v>
      </c>
      <c r="X261" s="2"/>
      <c r="Y261" s="2"/>
      <c r="Z261" s="2"/>
      <c r="AA261" s="2"/>
      <c r="AB261" s="3" t="n">
        <v>1442301</v>
      </c>
      <c r="AC261" s="2" t="s">
        <v>66</v>
      </c>
      <c r="AD261" s="2" t="s">
        <v>67</v>
      </c>
      <c r="AE261" s="2" t="s">
        <v>37</v>
      </c>
    </row>
    <row r="262" customFormat="false" ht="15" hidden="false" customHeight="false" outlineLevel="0" collapsed="false">
      <c r="A262" s="2" t="s">
        <v>347</v>
      </c>
      <c r="B262" s="2" t="s">
        <v>348</v>
      </c>
      <c r="C262" s="3" t="n">
        <v>2</v>
      </c>
      <c r="D262" s="2" t="s">
        <v>63</v>
      </c>
      <c r="E262" s="2" t="s">
        <v>64</v>
      </c>
      <c r="F262" s="3" t="n">
        <v>200</v>
      </c>
      <c r="G262" s="2" t="s">
        <v>65</v>
      </c>
      <c r="H262" s="4" t="n">
        <v>444</v>
      </c>
      <c r="I262" s="4" t="n">
        <v>444</v>
      </c>
      <c r="J262" s="5" t="n">
        <v>46185</v>
      </c>
      <c r="K262" s="2"/>
      <c r="L262" s="3" t="n">
        <v>2</v>
      </c>
      <c r="M262" s="3"/>
      <c r="N262" s="3"/>
      <c r="O262" s="3" t="n">
        <v>2</v>
      </c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3" t="n">
        <v>1442301</v>
      </c>
      <c r="AC262" s="2" t="s">
        <v>66</v>
      </c>
      <c r="AD262" s="2" t="s">
        <v>67</v>
      </c>
      <c r="AE262" s="2" t="s">
        <v>37</v>
      </c>
    </row>
    <row r="263" customFormat="false" ht="15" hidden="false" customHeight="false" outlineLevel="0" collapsed="false">
      <c r="A263" s="2" t="s">
        <v>347</v>
      </c>
      <c r="B263" s="2" t="s">
        <v>348</v>
      </c>
      <c r="C263" s="3" t="n">
        <v>2</v>
      </c>
      <c r="D263" s="2" t="s">
        <v>63</v>
      </c>
      <c r="E263" s="2" t="s">
        <v>64</v>
      </c>
      <c r="F263" s="3" t="n">
        <v>200</v>
      </c>
      <c r="G263" s="2" t="s">
        <v>65</v>
      </c>
      <c r="H263" s="4" t="n">
        <v>444</v>
      </c>
      <c r="I263" s="4" t="n">
        <v>444</v>
      </c>
      <c r="J263" s="2"/>
      <c r="K263" s="5" t="n">
        <v>46192</v>
      </c>
      <c r="L263" s="3"/>
      <c r="M263" s="3"/>
      <c r="N263" s="3" t="n">
        <v>1</v>
      </c>
      <c r="O263" s="3" t="n">
        <v>1</v>
      </c>
      <c r="P263" s="2"/>
      <c r="Q263" s="2" t="s">
        <v>68</v>
      </c>
      <c r="R263" s="2" t="s">
        <v>69</v>
      </c>
      <c r="S263" s="5" t="n">
        <v>46192</v>
      </c>
      <c r="T263" s="2" t="s">
        <v>51</v>
      </c>
      <c r="U263" s="5" t="n">
        <v>46192</v>
      </c>
      <c r="V263" s="2"/>
      <c r="W263" s="2" t="s">
        <v>70</v>
      </c>
      <c r="X263" s="2"/>
      <c r="Y263" s="2"/>
      <c r="Z263" s="2"/>
      <c r="AA263" s="2"/>
      <c r="AB263" s="3" t="n">
        <v>1442301</v>
      </c>
      <c r="AC263" s="2" t="s">
        <v>66</v>
      </c>
      <c r="AD263" s="2" t="s">
        <v>67</v>
      </c>
      <c r="AE263" s="2" t="s">
        <v>37</v>
      </c>
    </row>
    <row r="264" customFormat="false" ht="15" hidden="false" customHeight="false" outlineLevel="0" collapsed="false">
      <c r="A264" s="2" t="s">
        <v>347</v>
      </c>
      <c r="B264" s="2" t="s">
        <v>348</v>
      </c>
      <c r="C264" s="3" t="n">
        <v>2</v>
      </c>
      <c r="D264" s="2" t="s">
        <v>63</v>
      </c>
      <c r="E264" s="2" t="s">
        <v>64</v>
      </c>
      <c r="F264" s="3" t="n">
        <v>200</v>
      </c>
      <c r="G264" s="2" t="s">
        <v>65</v>
      </c>
      <c r="H264" s="4" t="n">
        <v>444</v>
      </c>
      <c r="I264" s="4" t="n">
        <v>444</v>
      </c>
      <c r="J264" s="2"/>
      <c r="K264" s="5" t="n">
        <v>46213</v>
      </c>
      <c r="L264" s="3"/>
      <c r="M264" s="3"/>
      <c r="N264" s="3" t="n">
        <v>1</v>
      </c>
      <c r="O264" s="3"/>
      <c r="P264" s="2" t="s">
        <v>162</v>
      </c>
      <c r="Q264" s="2" t="s">
        <v>163</v>
      </c>
      <c r="R264" s="2" t="s">
        <v>164</v>
      </c>
      <c r="S264" s="5" t="n">
        <v>46213</v>
      </c>
      <c r="T264" s="2" t="s">
        <v>51</v>
      </c>
      <c r="U264" s="5" t="n">
        <v>46213</v>
      </c>
      <c r="V264" s="2" t="s">
        <v>165</v>
      </c>
      <c r="W264" s="2" t="s">
        <v>166</v>
      </c>
      <c r="X264" s="2"/>
      <c r="Y264" s="2"/>
      <c r="Z264" s="2"/>
      <c r="AA264" s="2"/>
      <c r="AB264" s="3" t="n">
        <v>1442301</v>
      </c>
      <c r="AC264" s="2" t="s">
        <v>66</v>
      </c>
      <c r="AD264" s="2" t="s">
        <v>67</v>
      </c>
      <c r="AE264" s="2" t="s">
        <v>37</v>
      </c>
    </row>
    <row r="265" customFormat="false" ht="15" hidden="false" customHeight="false" outlineLevel="0" collapsed="false">
      <c r="A265" s="2" t="s">
        <v>349</v>
      </c>
      <c r="B265" s="2" t="s">
        <v>350</v>
      </c>
      <c r="C265" s="3" t="n">
        <v>53</v>
      </c>
      <c r="D265" s="2" t="s">
        <v>63</v>
      </c>
      <c r="E265" s="2" t="s">
        <v>64</v>
      </c>
      <c r="F265" s="3" t="n">
        <v>50</v>
      </c>
      <c r="G265" s="2" t="s">
        <v>73</v>
      </c>
      <c r="H265" s="4" t="n">
        <v>521.7</v>
      </c>
      <c r="I265" s="4" t="n">
        <v>521.7</v>
      </c>
      <c r="J265" s="5" t="n">
        <v>46185</v>
      </c>
      <c r="K265" s="2"/>
      <c r="L265" s="3" t="n">
        <v>53</v>
      </c>
      <c r="M265" s="3"/>
      <c r="N265" s="3"/>
      <c r="O265" s="3" t="n">
        <v>53</v>
      </c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3" t="n">
        <v>1442301</v>
      </c>
      <c r="AC265" s="2" t="s">
        <v>66</v>
      </c>
      <c r="AD265" s="2" t="s">
        <v>67</v>
      </c>
      <c r="AE265" s="2" t="s">
        <v>37</v>
      </c>
    </row>
    <row r="266" customFormat="false" ht="15" hidden="false" customHeight="false" outlineLevel="0" collapsed="false">
      <c r="A266" s="2" t="s">
        <v>349</v>
      </c>
      <c r="B266" s="2" t="s">
        <v>350</v>
      </c>
      <c r="C266" s="3" t="n">
        <v>53</v>
      </c>
      <c r="D266" s="2" t="s">
        <v>63</v>
      </c>
      <c r="E266" s="2" t="s">
        <v>64</v>
      </c>
      <c r="F266" s="3" t="n">
        <v>50</v>
      </c>
      <c r="G266" s="2" t="s">
        <v>73</v>
      </c>
      <c r="H266" s="4" t="n">
        <v>521.7</v>
      </c>
      <c r="I266" s="4" t="n">
        <v>521.7</v>
      </c>
      <c r="J266" s="2"/>
      <c r="K266" s="5" t="n">
        <v>46192</v>
      </c>
      <c r="L266" s="3"/>
      <c r="M266" s="3"/>
      <c r="N266" s="3" t="n">
        <v>1</v>
      </c>
      <c r="O266" s="3" t="n">
        <v>52</v>
      </c>
      <c r="P266" s="2"/>
      <c r="Q266" s="2" t="s">
        <v>68</v>
      </c>
      <c r="R266" s="2" t="s">
        <v>69</v>
      </c>
      <c r="S266" s="5" t="n">
        <v>46192</v>
      </c>
      <c r="T266" s="2" t="s">
        <v>51</v>
      </c>
      <c r="U266" s="5" t="n">
        <v>46192</v>
      </c>
      <c r="V266" s="2"/>
      <c r="W266" s="2" t="s">
        <v>70</v>
      </c>
      <c r="X266" s="2"/>
      <c r="Y266" s="2"/>
      <c r="Z266" s="2"/>
      <c r="AA266" s="2"/>
      <c r="AB266" s="3" t="n">
        <v>1442301</v>
      </c>
      <c r="AC266" s="2" t="s">
        <v>66</v>
      </c>
      <c r="AD266" s="2" t="s">
        <v>67</v>
      </c>
      <c r="AE266" s="2" t="s">
        <v>37</v>
      </c>
    </row>
    <row r="267" customFormat="false" ht="15" hidden="false" customHeight="false" outlineLevel="0" collapsed="false">
      <c r="A267" s="2" t="s">
        <v>351</v>
      </c>
      <c r="B267" s="2" t="s">
        <v>352</v>
      </c>
      <c r="C267" s="3" t="n">
        <v>552</v>
      </c>
      <c r="D267" s="2" t="s">
        <v>33</v>
      </c>
      <c r="E267" s="2" t="s">
        <v>34</v>
      </c>
      <c r="F267" s="3" t="n">
        <v>1</v>
      </c>
      <c r="G267" s="2" t="s">
        <v>33</v>
      </c>
      <c r="H267" s="4" t="n">
        <v>6549</v>
      </c>
      <c r="I267" s="4" t="n">
        <v>6549</v>
      </c>
      <c r="J267" s="5" t="n">
        <v>46185</v>
      </c>
      <c r="K267" s="2"/>
      <c r="L267" s="3" t="n">
        <v>552</v>
      </c>
      <c r="M267" s="3"/>
      <c r="N267" s="3"/>
      <c r="O267" s="3" t="n">
        <v>552</v>
      </c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3" t="n">
        <v>1442303</v>
      </c>
      <c r="AC267" s="2" t="s">
        <v>353</v>
      </c>
      <c r="AD267" s="2" t="s">
        <v>354</v>
      </c>
      <c r="AE267" s="2" t="s">
        <v>37</v>
      </c>
    </row>
    <row r="268" customFormat="false" ht="15" hidden="false" customHeight="false" outlineLevel="0" collapsed="false">
      <c r="A268" s="2" t="s">
        <v>351</v>
      </c>
      <c r="B268" s="2" t="s">
        <v>352</v>
      </c>
      <c r="C268" s="3" t="n">
        <v>552</v>
      </c>
      <c r="D268" s="2" t="s">
        <v>33</v>
      </c>
      <c r="E268" s="2" t="s">
        <v>34</v>
      </c>
      <c r="F268" s="3" t="n">
        <v>1</v>
      </c>
      <c r="G268" s="2" t="s">
        <v>33</v>
      </c>
      <c r="H268" s="4" t="n">
        <v>6549</v>
      </c>
      <c r="I268" s="4" t="n">
        <v>6549</v>
      </c>
      <c r="J268" s="2"/>
      <c r="K268" s="2"/>
      <c r="L268" s="3" t="n">
        <v>1</v>
      </c>
      <c r="M268" s="3"/>
      <c r="N268" s="3" t="n">
        <v>1</v>
      </c>
      <c r="O268" s="3" t="n">
        <v>551</v>
      </c>
      <c r="P268" s="2" t="s">
        <v>56</v>
      </c>
      <c r="Q268" s="2" t="s">
        <v>57</v>
      </c>
      <c r="R268" s="2" t="s">
        <v>58</v>
      </c>
      <c r="S268" s="5" t="n">
        <v>46211</v>
      </c>
      <c r="T268" s="2" t="s">
        <v>51</v>
      </c>
      <c r="U268" s="5" t="n">
        <v>46211</v>
      </c>
      <c r="V268" s="2"/>
      <c r="W268" s="2"/>
      <c r="X268" s="2"/>
      <c r="Y268" s="2"/>
      <c r="Z268" s="2"/>
      <c r="AA268" s="2"/>
      <c r="AB268" s="3" t="n">
        <v>1442303</v>
      </c>
      <c r="AC268" s="2" t="s">
        <v>353</v>
      </c>
      <c r="AD268" s="2" t="s">
        <v>354</v>
      </c>
      <c r="AE268" s="2" t="s">
        <v>37</v>
      </c>
    </row>
    <row r="269" customFormat="false" ht="15" hidden="false" customHeight="false" outlineLevel="0" collapsed="false">
      <c r="A269" s="2" t="s">
        <v>355</v>
      </c>
      <c r="B269" s="2" t="s">
        <v>356</v>
      </c>
      <c r="C269" s="3" t="n">
        <v>45</v>
      </c>
      <c r="D269" s="2" t="s">
        <v>33</v>
      </c>
      <c r="E269" s="2" t="s">
        <v>34</v>
      </c>
      <c r="F269" s="3" t="n">
        <v>1</v>
      </c>
      <c r="G269" s="2" t="s">
        <v>33</v>
      </c>
      <c r="H269" s="4" t="n">
        <v>4662</v>
      </c>
      <c r="I269" s="4" t="n">
        <v>4662</v>
      </c>
      <c r="J269" s="5" t="n">
        <v>46185</v>
      </c>
      <c r="K269" s="2"/>
      <c r="L269" s="3" t="n">
        <v>45</v>
      </c>
      <c r="M269" s="3"/>
      <c r="N269" s="3"/>
      <c r="O269" s="3" t="n">
        <v>45</v>
      </c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3" t="n">
        <v>1442303</v>
      </c>
      <c r="AC269" s="2" t="s">
        <v>353</v>
      </c>
      <c r="AD269" s="2" t="s">
        <v>354</v>
      </c>
      <c r="AE269" s="2" t="s">
        <v>37</v>
      </c>
    </row>
    <row r="270" customFormat="false" ht="15" hidden="false" customHeight="false" outlineLevel="0" collapsed="false">
      <c r="A270" s="2" t="s">
        <v>357</v>
      </c>
      <c r="B270" s="2" t="s">
        <v>358</v>
      </c>
      <c r="C270" s="3" t="n">
        <v>42</v>
      </c>
      <c r="D270" s="2" t="s">
        <v>33</v>
      </c>
      <c r="E270" s="2" t="s">
        <v>34</v>
      </c>
      <c r="F270" s="3" t="n">
        <v>1</v>
      </c>
      <c r="G270" s="2" t="s">
        <v>33</v>
      </c>
      <c r="H270" s="4" t="n">
        <v>122900</v>
      </c>
      <c r="I270" s="4" t="n">
        <v>122900</v>
      </c>
      <c r="J270" s="5" t="n">
        <v>46185</v>
      </c>
      <c r="K270" s="2"/>
      <c r="L270" s="3" t="n">
        <v>42</v>
      </c>
      <c r="M270" s="3"/>
      <c r="N270" s="3"/>
      <c r="O270" s="3" t="n">
        <v>42</v>
      </c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3" t="n">
        <v>1442303</v>
      </c>
      <c r="AC270" s="2" t="s">
        <v>353</v>
      </c>
      <c r="AD270" s="2" t="s">
        <v>354</v>
      </c>
      <c r="AE270" s="2" t="s">
        <v>37</v>
      </c>
    </row>
    <row r="271" customFormat="false" ht="15" hidden="false" customHeight="false" outlineLevel="0" collapsed="false">
      <c r="A271" s="2" t="s">
        <v>357</v>
      </c>
      <c r="B271" s="2" t="s">
        <v>358</v>
      </c>
      <c r="C271" s="3" t="n">
        <v>42</v>
      </c>
      <c r="D271" s="2" t="s">
        <v>33</v>
      </c>
      <c r="E271" s="2" t="s">
        <v>34</v>
      </c>
      <c r="F271" s="3" t="n">
        <v>1</v>
      </c>
      <c r="G271" s="2" t="s">
        <v>33</v>
      </c>
      <c r="H271" s="4" t="n">
        <v>122900</v>
      </c>
      <c r="I271" s="4" t="n">
        <v>122900</v>
      </c>
      <c r="J271" s="2"/>
      <c r="K271" s="5" t="n">
        <v>46198</v>
      </c>
      <c r="L271" s="3"/>
      <c r="M271" s="3"/>
      <c r="N271" s="3" t="n">
        <v>5</v>
      </c>
      <c r="O271" s="3" t="n">
        <v>37</v>
      </c>
      <c r="P271" s="2" t="s">
        <v>359</v>
      </c>
      <c r="Q271" s="2" t="s">
        <v>321</v>
      </c>
      <c r="R271" s="2" t="s">
        <v>125</v>
      </c>
      <c r="S271" s="5" t="n">
        <v>46198</v>
      </c>
      <c r="T271" s="2" t="s">
        <v>51</v>
      </c>
      <c r="U271" s="5" t="n">
        <v>46198</v>
      </c>
      <c r="V271" s="2"/>
      <c r="W271" s="2"/>
      <c r="X271" s="2"/>
      <c r="Y271" s="2"/>
      <c r="Z271" s="2"/>
      <c r="AA271" s="2"/>
      <c r="AB271" s="3" t="n">
        <v>1442303</v>
      </c>
      <c r="AC271" s="2" t="s">
        <v>353</v>
      </c>
      <c r="AD271" s="2" t="s">
        <v>354</v>
      </c>
      <c r="AE271" s="2" t="s">
        <v>37</v>
      </c>
    </row>
    <row r="272" customFormat="false" ht="15" hidden="false" customHeight="false" outlineLevel="0" collapsed="false">
      <c r="A272" s="2" t="s">
        <v>360</v>
      </c>
      <c r="B272" s="2" t="s">
        <v>361</v>
      </c>
      <c r="C272" s="3" t="n">
        <v>26</v>
      </c>
      <c r="D272" s="2" t="s">
        <v>33</v>
      </c>
      <c r="E272" s="2" t="s">
        <v>34</v>
      </c>
      <c r="F272" s="3" t="n">
        <v>1</v>
      </c>
      <c r="G272" s="2" t="s">
        <v>33</v>
      </c>
      <c r="H272" s="4" t="n">
        <v>9435</v>
      </c>
      <c r="I272" s="4" t="n">
        <v>9435</v>
      </c>
      <c r="J272" s="5" t="n">
        <v>46185</v>
      </c>
      <c r="K272" s="2"/>
      <c r="L272" s="3" t="n">
        <v>26</v>
      </c>
      <c r="M272" s="3"/>
      <c r="N272" s="3"/>
      <c r="O272" s="3" t="n">
        <v>26</v>
      </c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3" t="n">
        <v>1442303</v>
      </c>
      <c r="AC272" s="2" t="s">
        <v>353</v>
      </c>
      <c r="AD272" s="2" t="s">
        <v>354</v>
      </c>
      <c r="AE272" s="2" t="s">
        <v>37</v>
      </c>
    </row>
    <row r="273" customFormat="false" ht="15" hidden="false" customHeight="false" outlineLevel="0" collapsed="false">
      <c r="A273" s="2" t="s">
        <v>362</v>
      </c>
      <c r="B273" s="2" t="s">
        <v>363</v>
      </c>
      <c r="C273" s="3" t="n">
        <v>34</v>
      </c>
      <c r="D273" s="2" t="s">
        <v>33</v>
      </c>
      <c r="E273" s="2" t="s">
        <v>34</v>
      </c>
      <c r="F273" s="3" t="n">
        <v>1</v>
      </c>
      <c r="G273" s="2" t="s">
        <v>33</v>
      </c>
      <c r="H273" s="4" t="n">
        <v>77000</v>
      </c>
      <c r="I273" s="4" t="n">
        <v>77000</v>
      </c>
      <c r="J273" s="5" t="n">
        <v>46185</v>
      </c>
      <c r="K273" s="2"/>
      <c r="L273" s="3" t="n">
        <v>34</v>
      </c>
      <c r="M273" s="3"/>
      <c r="N273" s="3"/>
      <c r="O273" s="3" t="n">
        <v>34</v>
      </c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3" t="n">
        <v>1442303</v>
      </c>
      <c r="AC273" s="2" t="s">
        <v>353</v>
      </c>
      <c r="AD273" s="2" t="s">
        <v>354</v>
      </c>
      <c r="AE273" s="2" t="s">
        <v>37</v>
      </c>
    </row>
    <row r="274" customFormat="false" ht="15" hidden="false" customHeight="false" outlineLevel="0" collapsed="false">
      <c r="A274" s="2" t="s">
        <v>362</v>
      </c>
      <c r="B274" s="2" t="s">
        <v>363</v>
      </c>
      <c r="C274" s="3" t="n">
        <v>34</v>
      </c>
      <c r="D274" s="2" t="s">
        <v>33</v>
      </c>
      <c r="E274" s="2" t="s">
        <v>34</v>
      </c>
      <c r="F274" s="3" t="n">
        <v>1</v>
      </c>
      <c r="G274" s="2" t="s">
        <v>33</v>
      </c>
      <c r="H274" s="4" t="n">
        <v>77000</v>
      </c>
      <c r="I274" s="4" t="n">
        <v>77000</v>
      </c>
      <c r="J274" s="2"/>
      <c r="K274" s="5" t="n">
        <v>46198</v>
      </c>
      <c r="L274" s="3"/>
      <c r="M274" s="3"/>
      <c r="N274" s="3" t="n">
        <v>10</v>
      </c>
      <c r="O274" s="3" t="n">
        <v>24</v>
      </c>
      <c r="P274" s="2" t="s">
        <v>359</v>
      </c>
      <c r="Q274" s="2" t="s">
        <v>321</v>
      </c>
      <c r="R274" s="2" t="s">
        <v>125</v>
      </c>
      <c r="S274" s="5" t="n">
        <v>46198</v>
      </c>
      <c r="T274" s="2" t="s">
        <v>51</v>
      </c>
      <c r="U274" s="5" t="n">
        <v>46198</v>
      </c>
      <c r="V274" s="2"/>
      <c r="W274" s="2"/>
      <c r="X274" s="2"/>
      <c r="Y274" s="2"/>
      <c r="Z274" s="2"/>
      <c r="AA274" s="2"/>
      <c r="AB274" s="3" t="n">
        <v>1442303</v>
      </c>
      <c r="AC274" s="2" t="s">
        <v>353</v>
      </c>
      <c r="AD274" s="2" t="s">
        <v>354</v>
      </c>
      <c r="AE274" s="2" t="s">
        <v>37</v>
      </c>
    </row>
    <row r="275" customFormat="false" ht="15" hidden="false" customHeight="false" outlineLevel="0" collapsed="false">
      <c r="A275" s="2" t="s">
        <v>364</v>
      </c>
      <c r="B275" s="2" t="s">
        <v>365</v>
      </c>
      <c r="C275" s="3" t="n">
        <v>3</v>
      </c>
      <c r="D275" s="2" t="s">
        <v>33</v>
      </c>
      <c r="E275" s="2" t="s">
        <v>34</v>
      </c>
      <c r="F275" s="3" t="n">
        <v>1</v>
      </c>
      <c r="G275" s="2" t="s">
        <v>33</v>
      </c>
      <c r="H275" s="4" t="n">
        <v>199134</v>
      </c>
      <c r="I275" s="4" t="n">
        <v>199134</v>
      </c>
      <c r="J275" s="5" t="n">
        <v>46185</v>
      </c>
      <c r="K275" s="2"/>
      <c r="L275" s="3" t="n">
        <v>3</v>
      </c>
      <c r="M275" s="3"/>
      <c r="N275" s="3"/>
      <c r="O275" s="3" t="n">
        <v>3</v>
      </c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3" t="n">
        <v>1442303</v>
      </c>
      <c r="AC275" s="2" t="s">
        <v>353</v>
      </c>
      <c r="AD275" s="2" t="s">
        <v>354</v>
      </c>
      <c r="AE275" s="2" t="s">
        <v>37</v>
      </c>
    </row>
    <row r="276" customFormat="false" ht="15" hidden="false" customHeight="false" outlineLevel="0" collapsed="false">
      <c r="A276" s="2" t="s">
        <v>366</v>
      </c>
      <c r="B276" s="2" t="s">
        <v>367</v>
      </c>
      <c r="C276" s="3" t="n">
        <v>4</v>
      </c>
      <c r="D276" s="2" t="s">
        <v>33</v>
      </c>
      <c r="E276" s="2" t="s">
        <v>34</v>
      </c>
      <c r="F276" s="3" t="n">
        <v>1</v>
      </c>
      <c r="G276" s="2" t="s">
        <v>33</v>
      </c>
      <c r="H276" s="4" t="n">
        <v>200000</v>
      </c>
      <c r="I276" s="4" t="n">
        <v>200000</v>
      </c>
      <c r="J276" s="5" t="n">
        <v>46185</v>
      </c>
      <c r="K276" s="2"/>
      <c r="L276" s="3" t="n">
        <v>4</v>
      </c>
      <c r="M276" s="3"/>
      <c r="N276" s="3"/>
      <c r="O276" s="3" t="n">
        <v>4</v>
      </c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3" t="n">
        <v>1442303</v>
      </c>
      <c r="AC276" s="2" t="s">
        <v>353</v>
      </c>
      <c r="AD276" s="2" t="s">
        <v>354</v>
      </c>
      <c r="AE276" s="2" t="s">
        <v>37</v>
      </c>
    </row>
    <row r="277" customFormat="false" ht="15" hidden="false" customHeight="false" outlineLevel="0" collapsed="false">
      <c r="A277" s="2" t="s">
        <v>368</v>
      </c>
      <c r="B277" s="2" t="s">
        <v>369</v>
      </c>
      <c r="C277" s="3" t="n">
        <v>3</v>
      </c>
      <c r="D277" s="2" t="s">
        <v>33</v>
      </c>
      <c r="E277" s="2" t="s">
        <v>34</v>
      </c>
      <c r="F277" s="3" t="n">
        <v>1</v>
      </c>
      <c r="G277" s="2" t="s">
        <v>33</v>
      </c>
      <c r="H277" s="4" t="n">
        <v>44400</v>
      </c>
      <c r="I277" s="4" t="n">
        <v>44400</v>
      </c>
      <c r="J277" s="5" t="n">
        <v>46185</v>
      </c>
      <c r="K277" s="2"/>
      <c r="L277" s="3" t="n">
        <v>3</v>
      </c>
      <c r="M277" s="3"/>
      <c r="N277" s="3"/>
      <c r="O277" s="3" t="n">
        <v>3</v>
      </c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3" t="n">
        <v>1442303</v>
      </c>
      <c r="AC277" s="2" t="s">
        <v>353</v>
      </c>
      <c r="AD277" s="2" t="s">
        <v>354</v>
      </c>
      <c r="AE277" s="2" t="s">
        <v>37</v>
      </c>
    </row>
    <row r="278" customFormat="false" ht="15" hidden="false" customHeight="false" outlineLevel="0" collapsed="false">
      <c r="A278" s="2" t="s">
        <v>370</v>
      </c>
      <c r="B278" s="2" t="s">
        <v>371</v>
      </c>
      <c r="C278" s="3" t="n">
        <v>8</v>
      </c>
      <c r="D278" s="2" t="s">
        <v>33</v>
      </c>
      <c r="E278" s="2" t="s">
        <v>34</v>
      </c>
      <c r="F278" s="3" t="n">
        <v>1</v>
      </c>
      <c r="G278" s="2" t="s">
        <v>33</v>
      </c>
      <c r="H278" s="4" t="n">
        <v>125000</v>
      </c>
      <c r="I278" s="4" t="n">
        <v>125000</v>
      </c>
      <c r="J278" s="5" t="n">
        <v>46185</v>
      </c>
      <c r="K278" s="2"/>
      <c r="L278" s="3" t="n">
        <v>8</v>
      </c>
      <c r="M278" s="3"/>
      <c r="N278" s="3"/>
      <c r="O278" s="3" t="n">
        <v>8</v>
      </c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3" t="n">
        <v>1442303</v>
      </c>
      <c r="AC278" s="2" t="s">
        <v>353</v>
      </c>
      <c r="AD278" s="2" t="s">
        <v>354</v>
      </c>
      <c r="AE278" s="2" t="s">
        <v>37</v>
      </c>
    </row>
    <row r="279" customFormat="false" ht="15" hidden="false" customHeight="false" outlineLevel="0" collapsed="false">
      <c r="A279" s="2" t="s">
        <v>370</v>
      </c>
      <c r="B279" s="2" t="s">
        <v>371</v>
      </c>
      <c r="C279" s="3" t="n">
        <v>8</v>
      </c>
      <c r="D279" s="2" t="s">
        <v>33</v>
      </c>
      <c r="E279" s="2" t="s">
        <v>34</v>
      </c>
      <c r="F279" s="3" t="n">
        <v>1</v>
      </c>
      <c r="G279" s="2" t="s">
        <v>33</v>
      </c>
      <c r="H279" s="4" t="n">
        <v>125000</v>
      </c>
      <c r="I279" s="4" t="n">
        <v>125000</v>
      </c>
      <c r="J279" s="2"/>
      <c r="K279" s="5" t="n">
        <v>46219</v>
      </c>
      <c r="L279" s="3"/>
      <c r="M279" s="3"/>
      <c r="N279" s="3" t="n">
        <v>5</v>
      </c>
      <c r="O279" s="3" t="n">
        <v>3</v>
      </c>
      <c r="P279" s="2" t="s">
        <v>372</v>
      </c>
      <c r="Q279" s="2" t="s">
        <v>373</v>
      </c>
      <c r="R279" s="2" t="s">
        <v>374</v>
      </c>
      <c r="S279" s="5" t="n">
        <v>46219</v>
      </c>
      <c r="T279" s="2" t="s">
        <v>51</v>
      </c>
      <c r="U279" s="5" t="n">
        <v>46219</v>
      </c>
      <c r="V279" s="2"/>
      <c r="W279" s="2"/>
      <c r="X279" s="2"/>
      <c r="Y279" s="2"/>
      <c r="Z279" s="2"/>
      <c r="AA279" s="2"/>
      <c r="AB279" s="3" t="n">
        <v>1442303</v>
      </c>
      <c r="AC279" s="2" t="s">
        <v>353</v>
      </c>
      <c r="AD279" s="2" t="s">
        <v>354</v>
      </c>
      <c r="AE279" s="2" t="s">
        <v>37</v>
      </c>
    </row>
    <row r="280" customFormat="false" ht="15" hidden="false" customHeight="false" outlineLevel="0" collapsed="false">
      <c r="A280" s="2" t="s">
        <v>375</v>
      </c>
      <c r="B280" s="2" t="s">
        <v>376</v>
      </c>
      <c r="C280" s="3" t="n">
        <v>25</v>
      </c>
      <c r="D280" s="2" t="s">
        <v>33</v>
      </c>
      <c r="E280" s="2" t="s">
        <v>34</v>
      </c>
      <c r="F280" s="3" t="n">
        <v>1</v>
      </c>
      <c r="G280" s="2" t="s">
        <v>33</v>
      </c>
      <c r="H280" s="4" t="n">
        <v>9768</v>
      </c>
      <c r="I280" s="4" t="n">
        <v>9768</v>
      </c>
      <c r="J280" s="5" t="n">
        <v>46185</v>
      </c>
      <c r="K280" s="2"/>
      <c r="L280" s="3" t="n">
        <v>25</v>
      </c>
      <c r="M280" s="3"/>
      <c r="N280" s="3"/>
      <c r="O280" s="3" t="n">
        <v>25</v>
      </c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3" t="n">
        <v>1442303</v>
      </c>
      <c r="AC280" s="2" t="s">
        <v>353</v>
      </c>
      <c r="AD280" s="2" t="s">
        <v>354</v>
      </c>
      <c r="AE280" s="2" t="s">
        <v>37</v>
      </c>
    </row>
    <row r="281" customFormat="false" ht="15" hidden="false" customHeight="false" outlineLevel="0" collapsed="false">
      <c r="A281" s="2" t="s">
        <v>375</v>
      </c>
      <c r="B281" s="2" t="s">
        <v>376</v>
      </c>
      <c r="C281" s="3" t="n">
        <v>25</v>
      </c>
      <c r="D281" s="2" t="s">
        <v>33</v>
      </c>
      <c r="E281" s="2" t="s">
        <v>34</v>
      </c>
      <c r="F281" s="3" t="n">
        <v>1</v>
      </c>
      <c r="G281" s="2" t="s">
        <v>33</v>
      </c>
      <c r="H281" s="4" t="n">
        <v>9768</v>
      </c>
      <c r="I281" s="4" t="n">
        <v>9768</v>
      </c>
      <c r="J281" s="2"/>
      <c r="K281" s="5" t="n">
        <v>46211</v>
      </c>
      <c r="L281" s="3"/>
      <c r="M281" s="3"/>
      <c r="N281" s="3" t="n">
        <v>1</v>
      </c>
      <c r="O281" s="3" t="n">
        <v>24</v>
      </c>
      <c r="P281" s="2" t="s">
        <v>56</v>
      </c>
      <c r="Q281" s="2" t="s">
        <v>57</v>
      </c>
      <c r="R281" s="2" t="s">
        <v>58</v>
      </c>
      <c r="S281" s="5" t="n">
        <v>46211</v>
      </c>
      <c r="T281" s="2" t="s">
        <v>51</v>
      </c>
      <c r="U281" s="5" t="n">
        <v>46211</v>
      </c>
      <c r="V281" s="2"/>
      <c r="W281" s="2"/>
      <c r="X281" s="2"/>
      <c r="Y281" s="2"/>
      <c r="Z281" s="2"/>
      <c r="AA281" s="2"/>
      <c r="AB281" s="3" t="n">
        <v>1442303</v>
      </c>
      <c r="AC281" s="2" t="s">
        <v>353</v>
      </c>
      <c r="AD281" s="2" t="s">
        <v>354</v>
      </c>
      <c r="AE281" s="2" t="s">
        <v>37</v>
      </c>
    </row>
    <row r="282" customFormat="false" ht="15" hidden="false" customHeight="false" outlineLevel="0" collapsed="false">
      <c r="A282" s="2" t="s">
        <v>377</v>
      </c>
      <c r="B282" s="2" t="s">
        <v>378</v>
      </c>
      <c r="C282" s="3" t="n">
        <v>3</v>
      </c>
      <c r="D282" s="2" t="s">
        <v>33</v>
      </c>
      <c r="E282" s="2" t="s">
        <v>34</v>
      </c>
      <c r="F282" s="3" t="n">
        <v>1</v>
      </c>
      <c r="G282" s="2" t="s">
        <v>33</v>
      </c>
      <c r="H282" s="4" t="n">
        <v>8658</v>
      </c>
      <c r="I282" s="4" t="n">
        <v>8658</v>
      </c>
      <c r="J282" s="5" t="n">
        <v>46185</v>
      </c>
      <c r="K282" s="2"/>
      <c r="L282" s="3" t="n">
        <v>3</v>
      </c>
      <c r="M282" s="3"/>
      <c r="N282" s="3"/>
      <c r="O282" s="3" t="n">
        <v>3</v>
      </c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3" t="n">
        <v>1442303</v>
      </c>
      <c r="AC282" s="2" t="s">
        <v>353</v>
      </c>
      <c r="AD282" s="2" t="s">
        <v>354</v>
      </c>
      <c r="AE282" s="2" t="s">
        <v>37</v>
      </c>
    </row>
    <row r="283" customFormat="false" ht="15" hidden="false" customHeight="false" outlineLevel="0" collapsed="false">
      <c r="A283" s="2" t="s">
        <v>379</v>
      </c>
      <c r="B283" s="2" t="s">
        <v>380</v>
      </c>
      <c r="C283" s="3" t="n">
        <v>11</v>
      </c>
      <c r="D283" s="2" t="s">
        <v>33</v>
      </c>
      <c r="E283" s="2" t="s">
        <v>34</v>
      </c>
      <c r="F283" s="3" t="n">
        <v>1</v>
      </c>
      <c r="G283" s="2" t="s">
        <v>33</v>
      </c>
      <c r="H283" s="4" t="n">
        <v>25530</v>
      </c>
      <c r="I283" s="4" t="n">
        <v>25530</v>
      </c>
      <c r="J283" s="5" t="n">
        <v>46185</v>
      </c>
      <c r="K283" s="2"/>
      <c r="L283" s="3" t="n">
        <v>11</v>
      </c>
      <c r="M283" s="3"/>
      <c r="N283" s="3"/>
      <c r="O283" s="3" t="n">
        <v>11</v>
      </c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3" t="n">
        <v>1442303</v>
      </c>
      <c r="AC283" s="2" t="s">
        <v>353</v>
      </c>
      <c r="AD283" s="2" t="s">
        <v>354</v>
      </c>
      <c r="AE283" s="2" t="s">
        <v>37</v>
      </c>
    </row>
    <row r="284" customFormat="false" ht="15" hidden="false" customHeight="false" outlineLevel="0" collapsed="false">
      <c r="A284" s="2" t="s">
        <v>381</v>
      </c>
      <c r="B284" s="2" t="s">
        <v>382</v>
      </c>
      <c r="C284" s="3" t="n">
        <v>34</v>
      </c>
      <c r="D284" s="2" t="s">
        <v>33</v>
      </c>
      <c r="E284" s="2" t="s">
        <v>34</v>
      </c>
      <c r="F284" s="3" t="n">
        <v>1</v>
      </c>
      <c r="G284" s="2" t="s">
        <v>33</v>
      </c>
      <c r="H284" s="4" t="n">
        <v>12500</v>
      </c>
      <c r="I284" s="4" t="n">
        <v>12500</v>
      </c>
      <c r="J284" s="5" t="n">
        <v>46185</v>
      </c>
      <c r="K284" s="2"/>
      <c r="L284" s="3" t="n">
        <v>34</v>
      </c>
      <c r="M284" s="3"/>
      <c r="N284" s="3"/>
      <c r="O284" s="3" t="n">
        <v>34</v>
      </c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3" t="n">
        <v>1442303</v>
      </c>
      <c r="AC284" s="2" t="s">
        <v>353</v>
      </c>
      <c r="AD284" s="2" t="s">
        <v>354</v>
      </c>
      <c r="AE284" s="2" t="s">
        <v>37</v>
      </c>
    </row>
    <row r="285" customFormat="false" ht="15" hidden="false" customHeight="false" outlineLevel="0" collapsed="false">
      <c r="A285" s="2" t="s">
        <v>381</v>
      </c>
      <c r="B285" s="2" t="s">
        <v>382</v>
      </c>
      <c r="C285" s="3" t="n">
        <v>34</v>
      </c>
      <c r="D285" s="2" t="s">
        <v>33</v>
      </c>
      <c r="E285" s="2" t="s">
        <v>34</v>
      </c>
      <c r="F285" s="3" t="n">
        <v>1</v>
      </c>
      <c r="G285" s="2" t="s">
        <v>33</v>
      </c>
      <c r="H285" s="4" t="n">
        <v>12500</v>
      </c>
      <c r="I285" s="4" t="n">
        <v>12500</v>
      </c>
      <c r="J285" s="2"/>
      <c r="K285" s="5" t="n">
        <v>46211</v>
      </c>
      <c r="L285" s="3"/>
      <c r="M285" s="3"/>
      <c r="N285" s="3" t="n">
        <v>1</v>
      </c>
      <c r="O285" s="3" t="n">
        <v>33</v>
      </c>
      <c r="P285" s="2" t="s">
        <v>56</v>
      </c>
      <c r="Q285" s="2" t="s">
        <v>57</v>
      </c>
      <c r="R285" s="2" t="s">
        <v>58</v>
      </c>
      <c r="S285" s="5" t="n">
        <v>46211</v>
      </c>
      <c r="T285" s="2" t="s">
        <v>51</v>
      </c>
      <c r="U285" s="5" t="n">
        <v>46211</v>
      </c>
      <c r="V285" s="2"/>
      <c r="W285" s="2"/>
      <c r="X285" s="2"/>
      <c r="Y285" s="2"/>
      <c r="Z285" s="2"/>
      <c r="AA285" s="2"/>
      <c r="AB285" s="3" t="n">
        <v>1442303</v>
      </c>
      <c r="AC285" s="2" t="s">
        <v>353</v>
      </c>
      <c r="AD285" s="2" t="s">
        <v>354</v>
      </c>
      <c r="AE285" s="2" t="s">
        <v>37</v>
      </c>
    </row>
    <row r="286" customFormat="false" ht="15" hidden="false" customHeight="false" outlineLevel="0" collapsed="false">
      <c r="A286" s="2" t="s">
        <v>383</v>
      </c>
      <c r="B286" s="2" t="s">
        <v>384</v>
      </c>
      <c r="C286" s="3" t="n">
        <v>35</v>
      </c>
      <c r="D286" s="2" t="s">
        <v>33</v>
      </c>
      <c r="E286" s="2" t="s">
        <v>34</v>
      </c>
      <c r="F286" s="3" t="n">
        <v>1</v>
      </c>
      <c r="G286" s="2" t="s">
        <v>33</v>
      </c>
      <c r="H286" s="4" t="n">
        <v>78750</v>
      </c>
      <c r="I286" s="4" t="n">
        <v>78750</v>
      </c>
      <c r="J286" s="5" t="n">
        <v>46185</v>
      </c>
      <c r="K286" s="2"/>
      <c r="L286" s="3" t="n">
        <v>35</v>
      </c>
      <c r="M286" s="3"/>
      <c r="N286" s="3"/>
      <c r="O286" s="3" t="n">
        <v>35</v>
      </c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3" t="n">
        <v>1442303</v>
      </c>
      <c r="AC286" s="2" t="s">
        <v>353</v>
      </c>
      <c r="AD286" s="2" t="s">
        <v>354</v>
      </c>
      <c r="AE286" s="2" t="s">
        <v>37</v>
      </c>
    </row>
    <row r="287" customFormat="false" ht="15" hidden="false" customHeight="false" outlineLevel="0" collapsed="false">
      <c r="A287" s="2" t="s">
        <v>385</v>
      </c>
      <c r="B287" s="2" t="s">
        <v>386</v>
      </c>
      <c r="C287" s="3" t="n">
        <v>32</v>
      </c>
      <c r="D287" s="2" t="s">
        <v>33</v>
      </c>
      <c r="E287" s="2" t="s">
        <v>34</v>
      </c>
      <c r="F287" s="3" t="n">
        <v>1</v>
      </c>
      <c r="G287" s="2" t="s">
        <v>33</v>
      </c>
      <c r="H287" s="4" t="n">
        <v>10545</v>
      </c>
      <c r="I287" s="4" t="n">
        <v>10545</v>
      </c>
      <c r="J287" s="5" t="n">
        <v>46185</v>
      </c>
      <c r="K287" s="2"/>
      <c r="L287" s="3" t="n">
        <v>32</v>
      </c>
      <c r="M287" s="3"/>
      <c r="N287" s="3"/>
      <c r="O287" s="3" t="n">
        <v>32</v>
      </c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3" t="n">
        <v>1442303</v>
      </c>
      <c r="AC287" s="2" t="s">
        <v>353</v>
      </c>
      <c r="AD287" s="2" t="s">
        <v>354</v>
      </c>
      <c r="AE287" s="2" t="s">
        <v>37</v>
      </c>
    </row>
    <row r="288" customFormat="false" ht="15" hidden="false" customHeight="false" outlineLevel="0" collapsed="false">
      <c r="A288" s="2" t="s">
        <v>385</v>
      </c>
      <c r="B288" s="2" t="s">
        <v>386</v>
      </c>
      <c r="C288" s="3" t="n">
        <v>32</v>
      </c>
      <c r="D288" s="2" t="s">
        <v>33</v>
      </c>
      <c r="E288" s="2" t="s">
        <v>34</v>
      </c>
      <c r="F288" s="3" t="n">
        <v>1</v>
      </c>
      <c r="G288" s="2" t="s">
        <v>33</v>
      </c>
      <c r="H288" s="4" t="n">
        <v>10545</v>
      </c>
      <c r="I288" s="4" t="n">
        <v>10545</v>
      </c>
      <c r="J288" s="2"/>
      <c r="K288" s="5" t="n">
        <v>46188</v>
      </c>
      <c r="L288" s="3"/>
      <c r="M288" s="3"/>
      <c r="N288" s="3" t="n">
        <v>5</v>
      </c>
      <c r="O288" s="3" t="n">
        <v>35</v>
      </c>
      <c r="P288" s="2" t="s">
        <v>387</v>
      </c>
      <c r="Q288" s="2" t="s">
        <v>388</v>
      </c>
      <c r="R288" s="2" t="s">
        <v>389</v>
      </c>
      <c r="S288" s="5" t="n">
        <v>46188</v>
      </c>
      <c r="T288" s="2" t="s">
        <v>51</v>
      </c>
      <c r="U288" s="5" t="n">
        <v>46188</v>
      </c>
      <c r="V288" s="2"/>
      <c r="W288" s="2"/>
      <c r="X288" s="2"/>
      <c r="Y288" s="2"/>
      <c r="Z288" s="2"/>
      <c r="AA288" s="2"/>
      <c r="AB288" s="3" t="n">
        <v>1442303</v>
      </c>
      <c r="AC288" s="2" t="s">
        <v>353</v>
      </c>
      <c r="AD288" s="2" t="s">
        <v>354</v>
      </c>
      <c r="AE288" s="2" t="s">
        <v>37</v>
      </c>
    </row>
    <row r="289" customFormat="false" ht="15" hidden="false" customHeight="false" outlineLevel="0" collapsed="false">
      <c r="A289" s="2" t="s">
        <v>385</v>
      </c>
      <c r="B289" s="2" t="s">
        <v>386</v>
      </c>
      <c r="C289" s="3" t="n">
        <v>32</v>
      </c>
      <c r="D289" s="2" t="s">
        <v>33</v>
      </c>
      <c r="E289" s="2" t="s">
        <v>34</v>
      </c>
      <c r="F289" s="3" t="n">
        <v>1</v>
      </c>
      <c r="G289" s="2" t="s">
        <v>33</v>
      </c>
      <c r="H289" s="4" t="n">
        <v>10545</v>
      </c>
      <c r="I289" s="4" t="n">
        <v>10545</v>
      </c>
      <c r="J289" s="2"/>
      <c r="K289" s="5" t="n">
        <v>46211</v>
      </c>
      <c r="L289" s="3"/>
      <c r="M289" s="3"/>
      <c r="N289" s="3" t="n">
        <v>1</v>
      </c>
      <c r="O289" s="3" t="n">
        <v>34</v>
      </c>
      <c r="P289" s="2" t="s">
        <v>56</v>
      </c>
      <c r="Q289" s="2" t="s">
        <v>57</v>
      </c>
      <c r="R289" s="2" t="s">
        <v>58</v>
      </c>
      <c r="S289" s="5" t="n">
        <v>46211</v>
      </c>
      <c r="T289" s="2" t="s">
        <v>51</v>
      </c>
      <c r="U289" s="5" t="n">
        <v>46211</v>
      </c>
      <c r="V289" s="2"/>
      <c r="W289" s="2"/>
      <c r="X289" s="2"/>
      <c r="Y289" s="2"/>
      <c r="Z289" s="2"/>
      <c r="AA289" s="2"/>
      <c r="AB289" s="3" t="n">
        <v>1442303</v>
      </c>
      <c r="AC289" s="2" t="s">
        <v>353</v>
      </c>
      <c r="AD289" s="2" t="s">
        <v>354</v>
      </c>
      <c r="AE289" s="2" t="s">
        <v>37</v>
      </c>
    </row>
    <row r="290" customFormat="false" ht="15" hidden="false" customHeight="false" outlineLevel="0" collapsed="false">
      <c r="A290" s="2" t="s">
        <v>390</v>
      </c>
      <c r="B290" s="2" t="s">
        <v>391</v>
      </c>
      <c r="C290" s="3" t="n">
        <v>2</v>
      </c>
      <c r="D290" s="2" t="s">
        <v>33</v>
      </c>
      <c r="E290" s="2" t="s">
        <v>34</v>
      </c>
      <c r="F290" s="3" t="n">
        <v>1</v>
      </c>
      <c r="G290" s="2" t="s">
        <v>33</v>
      </c>
      <c r="H290" s="4" t="n">
        <v>64380</v>
      </c>
      <c r="I290" s="4" t="n">
        <v>64380</v>
      </c>
      <c r="J290" s="5" t="n">
        <v>46185</v>
      </c>
      <c r="K290" s="2"/>
      <c r="L290" s="3" t="n">
        <v>2</v>
      </c>
      <c r="M290" s="3"/>
      <c r="N290" s="3"/>
      <c r="O290" s="3" t="n">
        <v>2</v>
      </c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3" t="n">
        <v>1442303</v>
      </c>
      <c r="AC290" s="2" t="s">
        <v>353</v>
      </c>
      <c r="AD290" s="2" t="s">
        <v>354</v>
      </c>
      <c r="AE290" s="2" t="s">
        <v>37</v>
      </c>
    </row>
    <row r="291" customFormat="false" ht="15" hidden="false" customHeight="false" outlineLevel="0" collapsed="false">
      <c r="A291" s="2" t="s">
        <v>390</v>
      </c>
      <c r="B291" s="2" t="s">
        <v>391</v>
      </c>
      <c r="C291" s="3" t="n">
        <v>2</v>
      </c>
      <c r="D291" s="2" t="s">
        <v>33</v>
      </c>
      <c r="E291" s="2" t="s">
        <v>34</v>
      </c>
      <c r="F291" s="3" t="n">
        <v>1</v>
      </c>
      <c r="G291" s="2" t="s">
        <v>33</v>
      </c>
      <c r="H291" s="4" t="n">
        <v>64380</v>
      </c>
      <c r="I291" s="4" t="n">
        <v>64380</v>
      </c>
      <c r="J291" s="2"/>
      <c r="K291" s="5" t="n">
        <v>46211</v>
      </c>
      <c r="L291" s="3"/>
      <c r="M291" s="3"/>
      <c r="N291" s="3" t="n">
        <v>1</v>
      </c>
      <c r="O291" s="3" t="n">
        <v>1</v>
      </c>
      <c r="P291" s="2" t="s">
        <v>56</v>
      </c>
      <c r="Q291" s="2" t="s">
        <v>57</v>
      </c>
      <c r="R291" s="2" t="s">
        <v>58</v>
      </c>
      <c r="S291" s="5" t="n">
        <v>46211</v>
      </c>
      <c r="T291" s="2" t="s">
        <v>51</v>
      </c>
      <c r="U291" s="5" t="n">
        <v>46211</v>
      </c>
      <c r="V291" s="2"/>
      <c r="W291" s="2"/>
      <c r="X291" s="2"/>
      <c r="Y291" s="2"/>
      <c r="Z291" s="2"/>
      <c r="AA291" s="2"/>
      <c r="AB291" s="3" t="n">
        <v>1442303</v>
      </c>
      <c r="AC291" s="2" t="s">
        <v>353</v>
      </c>
      <c r="AD291" s="2" t="s">
        <v>354</v>
      </c>
      <c r="AE291" s="2" t="s">
        <v>37</v>
      </c>
    </row>
    <row r="292" customFormat="false" ht="15" hidden="false" customHeight="false" outlineLevel="0" collapsed="false">
      <c r="A292" s="2" t="s">
        <v>392</v>
      </c>
      <c r="B292" s="2" t="s">
        <v>393</v>
      </c>
      <c r="C292" s="3" t="n">
        <v>5</v>
      </c>
      <c r="D292" s="2" t="s">
        <v>33</v>
      </c>
      <c r="E292" s="2" t="s">
        <v>34</v>
      </c>
      <c r="F292" s="3" t="n">
        <v>1</v>
      </c>
      <c r="G292" s="2" t="s">
        <v>33</v>
      </c>
      <c r="H292" s="4" t="n">
        <v>49000</v>
      </c>
      <c r="I292" s="4" t="n">
        <v>49000</v>
      </c>
      <c r="J292" s="5" t="n">
        <v>46185</v>
      </c>
      <c r="K292" s="2"/>
      <c r="L292" s="3" t="n">
        <v>5</v>
      </c>
      <c r="M292" s="3"/>
      <c r="N292" s="3"/>
      <c r="O292" s="3" t="n">
        <v>5</v>
      </c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3" t="n">
        <v>1442303</v>
      </c>
      <c r="AC292" s="2" t="s">
        <v>353</v>
      </c>
      <c r="AD292" s="2" t="s">
        <v>354</v>
      </c>
      <c r="AE292" s="2" t="s">
        <v>37</v>
      </c>
    </row>
    <row r="293" customFormat="false" ht="15" hidden="false" customHeight="false" outlineLevel="0" collapsed="false">
      <c r="A293" s="2" t="s">
        <v>392</v>
      </c>
      <c r="B293" s="2" t="s">
        <v>394</v>
      </c>
      <c r="C293" s="3" t="n">
        <v>5</v>
      </c>
      <c r="D293" s="2" t="s">
        <v>33</v>
      </c>
      <c r="E293" s="2" t="s">
        <v>34</v>
      </c>
      <c r="F293" s="3" t="n">
        <v>1</v>
      </c>
      <c r="G293" s="2" t="s">
        <v>33</v>
      </c>
      <c r="H293" s="4" t="n">
        <v>49000</v>
      </c>
      <c r="I293" s="4" t="n">
        <v>49000</v>
      </c>
      <c r="J293" s="5" t="n">
        <v>46185</v>
      </c>
      <c r="K293" s="2"/>
      <c r="L293" s="3" t="n">
        <v>4</v>
      </c>
      <c r="M293" s="3"/>
      <c r="N293" s="3"/>
      <c r="O293" s="3" t="n">
        <v>4</v>
      </c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3" t="n">
        <v>1442303</v>
      </c>
      <c r="AC293" s="2" t="s">
        <v>353</v>
      </c>
      <c r="AD293" s="2" t="s">
        <v>354</v>
      </c>
      <c r="AE293" s="2" t="s">
        <v>37</v>
      </c>
    </row>
    <row r="294" customFormat="false" ht="15" hidden="false" customHeight="false" outlineLevel="0" collapsed="false">
      <c r="A294" s="2" t="s">
        <v>392</v>
      </c>
      <c r="B294" s="2" t="s">
        <v>395</v>
      </c>
      <c r="C294" s="3" t="n">
        <v>5</v>
      </c>
      <c r="D294" s="2" t="s">
        <v>33</v>
      </c>
      <c r="E294" s="2" t="s">
        <v>34</v>
      </c>
      <c r="F294" s="3" t="n">
        <v>1</v>
      </c>
      <c r="G294" s="2" t="s">
        <v>33</v>
      </c>
      <c r="H294" s="4" t="n">
        <v>49000</v>
      </c>
      <c r="I294" s="4" t="n">
        <v>49000</v>
      </c>
      <c r="J294" s="5" t="n">
        <v>46185</v>
      </c>
      <c r="K294" s="2"/>
      <c r="L294" s="3" t="n">
        <v>2</v>
      </c>
      <c r="M294" s="3"/>
      <c r="N294" s="3"/>
      <c r="O294" s="3" t="n">
        <v>2</v>
      </c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3" t="n">
        <v>1442303</v>
      </c>
      <c r="AC294" s="2" t="s">
        <v>353</v>
      </c>
      <c r="AD294" s="2" t="s">
        <v>354</v>
      </c>
      <c r="AE294" s="2" t="s">
        <v>37</v>
      </c>
    </row>
    <row r="295" customFormat="false" ht="15" hidden="false" customHeight="false" outlineLevel="0" collapsed="false">
      <c r="A295" s="2" t="s">
        <v>396</v>
      </c>
      <c r="B295" s="2" t="s">
        <v>397</v>
      </c>
      <c r="C295" s="3" t="n">
        <v>2</v>
      </c>
      <c r="D295" s="2" t="s">
        <v>33</v>
      </c>
      <c r="E295" s="2" t="s">
        <v>34</v>
      </c>
      <c r="F295" s="3" t="n">
        <v>1</v>
      </c>
      <c r="G295" s="2" t="s">
        <v>33</v>
      </c>
      <c r="H295" s="4" t="n">
        <v>15000</v>
      </c>
      <c r="I295" s="4" t="n">
        <v>15000</v>
      </c>
      <c r="J295" s="5" t="n">
        <v>46185</v>
      </c>
      <c r="K295" s="2"/>
      <c r="L295" s="3" t="n">
        <v>2</v>
      </c>
      <c r="M295" s="3"/>
      <c r="N295" s="3"/>
      <c r="O295" s="3" t="n">
        <v>2</v>
      </c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3" t="n">
        <v>1442303</v>
      </c>
      <c r="AC295" s="2" t="s">
        <v>353</v>
      </c>
      <c r="AD295" s="2" t="s">
        <v>354</v>
      </c>
      <c r="AE295" s="2" t="s">
        <v>37</v>
      </c>
    </row>
    <row r="296" customFormat="false" ht="15" hidden="false" customHeight="false" outlineLevel="0" collapsed="false">
      <c r="A296" s="2" t="s">
        <v>396</v>
      </c>
      <c r="B296" s="2" t="s">
        <v>397</v>
      </c>
      <c r="C296" s="3" t="n">
        <v>2</v>
      </c>
      <c r="D296" s="2" t="s">
        <v>33</v>
      </c>
      <c r="E296" s="2" t="s">
        <v>34</v>
      </c>
      <c r="F296" s="3" t="n">
        <v>1</v>
      </c>
      <c r="G296" s="2" t="s">
        <v>33</v>
      </c>
      <c r="H296" s="4" t="n">
        <v>15000</v>
      </c>
      <c r="I296" s="4" t="n">
        <v>15000</v>
      </c>
      <c r="J296" s="2"/>
      <c r="K296" s="5" t="n">
        <v>46211</v>
      </c>
      <c r="L296" s="3"/>
      <c r="M296" s="3"/>
      <c r="N296" s="3" t="n">
        <v>1</v>
      </c>
      <c r="O296" s="3" t="n">
        <v>1</v>
      </c>
      <c r="P296" s="2" t="s">
        <v>56</v>
      </c>
      <c r="Q296" s="2" t="s">
        <v>57</v>
      </c>
      <c r="R296" s="2" t="s">
        <v>58</v>
      </c>
      <c r="S296" s="5" t="n">
        <v>46211</v>
      </c>
      <c r="T296" s="2" t="s">
        <v>51</v>
      </c>
      <c r="U296" s="5" t="n">
        <v>46211</v>
      </c>
      <c r="V296" s="2"/>
      <c r="W296" s="2"/>
      <c r="X296" s="2"/>
      <c r="Y296" s="2"/>
      <c r="Z296" s="2"/>
      <c r="AA296" s="2"/>
      <c r="AB296" s="3" t="n">
        <v>1442303</v>
      </c>
      <c r="AC296" s="2" t="s">
        <v>353</v>
      </c>
      <c r="AD296" s="2" t="s">
        <v>354</v>
      </c>
      <c r="AE296" s="2" t="s">
        <v>37</v>
      </c>
    </row>
    <row r="297" customFormat="false" ht="15" hidden="false" customHeight="false" outlineLevel="0" collapsed="false">
      <c r="A297" s="2" t="s">
        <v>398</v>
      </c>
      <c r="B297" s="2" t="s">
        <v>399</v>
      </c>
      <c r="C297" s="3" t="n">
        <v>1</v>
      </c>
      <c r="D297" s="2" t="s">
        <v>63</v>
      </c>
      <c r="E297" s="2" t="s">
        <v>64</v>
      </c>
      <c r="F297" s="3" t="n">
        <v>100</v>
      </c>
      <c r="G297" s="2" t="s">
        <v>73</v>
      </c>
      <c r="H297" s="4" t="n">
        <v>334.4</v>
      </c>
      <c r="I297" s="4" t="n">
        <v>334.4</v>
      </c>
      <c r="J297" s="5" t="n">
        <v>46185</v>
      </c>
      <c r="K297" s="2"/>
      <c r="L297" s="3" t="n">
        <v>1</v>
      </c>
      <c r="M297" s="3"/>
      <c r="N297" s="3"/>
      <c r="O297" s="3" t="n">
        <v>1</v>
      </c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3" t="n">
        <v>1442301</v>
      </c>
      <c r="AC297" s="2" t="s">
        <v>66</v>
      </c>
      <c r="AD297" s="2" t="s">
        <v>67</v>
      </c>
      <c r="AE297" s="2" t="s">
        <v>37</v>
      </c>
    </row>
    <row r="298" customFormat="false" ht="15" hidden="false" customHeight="false" outlineLevel="0" collapsed="false">
      <c r="A298" s="2" t="s">
        <v>400</v>
      </c>
      <c r="B298" s="2" t="s">
        <v>401</v>
      </c>
      <c r="C298" s="3" t="n">
        <v>14</v>
      </c>
      <c r="D298" s="2" t="s">
        <v>63</v>
      </c>
      <c r="E298" s="2" t="s">
        <v>64</v>
      </c>
      <c r="F298" s="3" t="n">
        <v>50</v>
      </c>
      <c r="G298" s="2" t="s">
        <v>73</v>
      </c>
      <c r="H298" s="4" t="n">
        <v>324.5</v>
      </c>
      <c r="I298" s="4" t="n">
        <v>324.5</v>
      </c>
      <c r="J298" s="5" t="n">
        <v>46185</v>
      </c>
      <c r="K298" s="2"/>
      <c r="L298" s="3" t="n">
        <v>14</v>
      </c>
      <c r="M298" s="3"/>
      <c r="N298" s="3"/>
      <c r="O298" s="3" t="n">
        <v>14</v>
      </c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3" t="n">
        <v>1442301</v>
      </c>
      <c r="AC298" s="2" t="s">
        <v>66</v>
      </c>
      <c r="AD298" s="2" t="s">
        <v>67</v>
      </c>
      <c r="AE298" s="2" t="s">
        <v>37</v>
      </c>
    </row>
    <row r="299" customFormat="false" ht="15" hidden="false" customHeight="false" outlineLevel="0" collapsed="false">
      <c r="A299" s="2" t="s">
        <v>402</v>
      </c>
      <c r="B299" s="2" t="s">
        <v>403</v>
      </c>
      <c r="C299" s="3" t="n">
        <v>1</v>
      </c>
      <c r="D299" s="2" t="s">
        <v>63</v>
      </c>
      <c r="E299" s="2" t="s">
        <v>274</v>
      </c>
      <c r="F299" s="3" t="n">
        <v>1</v>
      </c>
      <c r="G299" s="2" t="s">
        <v>63</v>
      </c>
      <c r="H299" s="4"/>
      <c r="I299" s="4"/>
      <c r="J299" s="5" t="n">
        <v>46185</v>
      </c>
      <c r="K299" s="2"/>
      <c r="L299" s="3" t="n">
        <v>1</v>
      </c>
      <c r="M299" s="3"/>
      <c r="N299" s="3"/>
      <c r="O299" s="3" t="n">
        <v>1</v>
      </c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3" t="n">
        <v>1442301</v>
      </c>
      <c r="AC299" s="2" t="s">
        <v>66</v>
      </c>
      <c r="AD299" s="2" t="s">
        <v>67</v>
      </c>
      <c r="AE299" s="2" t="s">
        <v>37</v>
      </c>
    </row>
    <row r="300" customFormat="false" ht="15" hidden="false" customHeight="false" outlineLevel="0" collapsed="false">
      <c r="A300" s="2" t="s">
        <v>404</v>
      </c>
      <c r="B300" s="2" t="s">
        <v>405</v>
      </c>
      <c r="C300" s="3" t="n">
        <v>8</v>
      </c>
      <c r="D300" s="2" t="s">
        <v>63</v>
      </c>
      <c r="E300" s="2" t="s">
        <v>64</v>
      </c>
      <c r="F300" s="3" t="n">
        <v>100</v>
      </c>
      <c r="G300" s="2" t="s">
        <v>73</v>
      </c>
      <c r="H300" s="4" t="n">
        <v>385</v>
      </c>
      <c r="I300" s="4" t="n">
        <v>385</v>
      </c>
      <c r="J300" s="5" t="n">
        <v>46185</v>
      </c>
      <c r="K300" s="2"/>
      <c r="L300" s="3" t="n">
        <v>8</v>
      </c>
      <c r="M300" s="3"/>
      <c r="N300" s="3"/>
      <c r="O300" s="3" t="n">
        <v>8</v>
      </c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3" t="n">
        <v>1442301</v>
      </c>
      <c r="AC300" s="2" t="s">
        <v>66</v>
      </c>
      <c r="AD300" s="2" t="s">
        <v>67</v>
      </c>
      <c r="AE300" s="2" t="s">
        <v>37</v>
      </c>
    </row>
    <row r="301" customFormat="false" ht="15" hidden="false" customHeight="false" outlineLevel="0" collapsed="false">
      <c r="A301" s="2" t="s">
        <v>406</v>
      </c>
      <c r="B301" s="2" t="s">
        <v>407</v>
      </c>
      <c r="C301" s="3" t="n">
        <v>7</v>
      </c>
      <c r="D301" s="2" t="s">
        <v>63</v>
      </c>
      <c r="E301" s="2" t="s">
        <v>64</v>
      </c>
      <c r="F301" s="3" t="n">
        <v>100</v>
      </c>
      <c r="G301" s="2" t="s">
        <v>73</v>
      </c>
      <c r="H301" s="4" t="n">
        <v>385</v>
      </c>
      <c r="I301" s="4" t="n">
        <v>385</v>
      </c>
      <c r="J301" s="5" t="n">
        <v>46185</v>
      </c>
      <c r="K301" s="2"/>
      <c r="L301" s="3" t="n">
        <v>7</v>
      </c>
      <c r="M301" s="3"/>
      <c r="N301" s="3"/>
      <c r="O301" s="3" t="n">
        <v>7</v>
      </c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3" t="n">
        <v>1442301</v>
      </c>
      <c r="AC301" s="2" t="s">
        <v>66</v>
      </c>
      <c r="AD301" s="2" t="s">
        <v>67</v>
      </c>
      <c r="AE301" s="2" t="s">
        <v>37</v>
      </c>
    </row>
    <row r="302" customFormat="false" ht="15" hidden="false" customHeight="false" outlineLevel="0" collapsed="false">
      <c r="A302" s="2" t="s">
        <v>408</v>
      </c>
      <c r="B302" s="2" t="s">
        <v>409</v>
      </c>
      <c r="C302" s="3" t="n">
        <v>2</v>
      </c>
      <c r="D302" s="2" t="s">
        <v>63</v>
      </c>
      <c r="E302" s="2" t="s">
        <v>64</v>
      </c>
      <c r="F302" s="3" t="n">
        <v>50</v>
      </c>
      <c r="G302" s="2" t="s">
        <v>65</v>
      </c>
      <c r="H302" s="4" t="n">
        <v>850.26</v>
      </c>
      <c r="I302" s="4" t="n">
        <v>850.26</v>
      </c>
      <c r="J302" s="5" t="n">
        <v>46185</v>
      </c>
      <c r="K302" s="2"/>
      <c r="L302" s="3" t="n">
        <v>2</v>
      </c>
      <c r="M302" s="3"/>
      <c r="N302" s="3"/>
      <c r="O302" s="3" t="n">
        <v>2</v>
      </c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3" t="n">
        <v>1442301</v>
      </c>
      <c r="AC302" s="2" t="s">
        <v>66</v>
      </c>
      <c r="AD302" s="2" t="s">
        <v>67</v>
      </c>
      <c r="AE302" s="2" t="s">
        <v>37</v>
      </c>
    </row>
    <row r="303" customFormat="false" ht="15" hidden="false" customHeight="false" outlineLevel="0" collapsed="false">
      <c r="A303" s="2" t="s">
        <v>408</v>
      </c>
      <c r="B303" s="2" t="s">
        <v>409</v>
      </c>
      <c r="C303" s="3" t="n">
        <v>2</v>
      </c>
      <c r="D303" s="2" t="s">
        <v>63</v>
      </c>
      <c r="E303" s="2" t="s">
        <v>64</v>
      </c>
      <c r="F303" s="3" t="n">
        <v>50</v>
      </c>
      <c r="G303" s="2" t="s">
        <v>65</v>
      </c>
      <c r="H303" s="4" t="n">
        <v>850.26</v>
      </c>
      <c r="I303" s="4" t="n">
        <v>850.26</v>
      </c>
      <c r="J303" s="2"/>
      <c r="K303" s="5" t="n">
        <v>46192</v>
      </c>
      <c r="L303" s="3"/>
      <c r="M303" s="3"/>
      <c r="N303" s="3" t="n">
        <v>1</v>
      </c>
      <c r="O303" s="3" t="n">
        <v>1</v>
      </c>
      <c r="P303" s="2"/>
      <c r="Q303" s="2" t="s">
        <v>68</v>
      </c>
      <c r="R303" s="2" t="s">
        <v>69</v>
      </c>
      <c r="S303" s="5" t="n">
        <v>46192</v>
      </c>
      <c r="T303" s="2" t="s">
        <v>51</v>
      </c>
      <c r="U303" s="5" t="n">
        <v>46192</v>
      </c>
      <c r="V303" s="2"/>
      <c r="W303" s="2" t="s">
        <v>70</v>
      </c>
      <c r="X303" s="2"/>
      <c r="Y303" s="2"/>
      <c r="Z303" s="2"/>
      <c r="AA303" s="2"/>
      <c r="AB303" s="3" t="n">
        <v>1442301</v>
      </c>
      <c r="AC303" s="2" t="s">
        <v>66</v>
      </c>
      <c r="AD303" s="2" t="s">
        <v>67</v>
      </c>
      <c r="AE303" s="2" t="s">
        <v>37</v>
      </c>
    </row>
    <row r="304" customFormat="false" ht="15" hidden="false" customHeight="false" outlineLevel="0" collapsed="false">
      <c r="A304" s="2" t="s">
        <v>408</v>
      </c>
      <c r="B304" s="2" t="s">
        <v>409</v>
      </c>
      <c r="C304" s="3" t="n">
        <v>2</v>
      </c>
      <c r="D304" s="2" t="s">
        <v>63</v>
      </c>
      <c r="E304" s="2" t="s">
        <v>64</v>
      </c>
      <c r="F304" s="3" t="n">
        <v>50</v>
      </c>
      <c r="G304" s="2" t="s">
        <v>65</v>
      </c>
      <c r="H304" s="4" t="n">
        <v>850.26</v>
      </c>
      <c r="I304" s="4" t="n">
        <v>850.26</v>
      </c>
      <c r="J304" s="5" t="n">
        <v>46210</v>
      </c>
      <c r="K304" s="2"/>
      <c r="L304" s="3"/>
      <c r="M304" s="3" t="n">
        <v>160</v>
      </c>
      <c r="N304" s="3"/>
      <c r="O304" s="3" t="n">
        <v>161</v>
      </c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3" t="n">
        <v>1442301</v>
      </c>
      <c r="AC304" s="2" t="s">
        <v>66</v>
      </c>
      <c r="AD304" s="2" t="s">
        <v>67</v>
      </c>
      <c r="AE304" s="2" t="s">
        <v>37</v>
      </c>
    </row>
    <row r="305" customFormat="false" ht="15" hidden="false" customHeight="false" outlineLevel="0" collapsed="false">
      <c r="A305" s="2" t="s">
        <v>410</v>
      </c>
      <c r="B305" s="2" t="s">
        <v>411</v>
      </c>
      <c r="C305" s="3" t="n">
        <v>80</v>
      </c>
      <c r="D305" s="2" t="s">
        <v>63</v>
      </c>
      <c r="E305" s="2" t="s">
        <v>64</v>
      </c>
      <c r="F305" s="3" t="n">
        <v>50</v>
      </c>
      <c r="G305" s="2" t="s">
        <v>73</v>
      </c>
      <c r="H305" s="4" t="n">
        <v>2640</v>
      </c>
      <c r="I305" s="4" t="n">
        <v>2640</v>
      </c>
      <c r="J305" s="5" t="n">
        <v>46185</v>
      </c>
      <c r="K305" s="2"/>
      <c r="L305" s="3" t="n">
        <v>80</v>
      </c>
      <c r="M305" s="3"/>
      <c r="N305" s="3"/>
      <c r="O305" s="3" t="n">
        <v>80</v>
      </c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3" t="n">
        <v>1442301</v>
      </c>
      <c r="AC305" s="2" t="s">
        <v>66</v>
      </c>
      <c r="AD305" s="2" t="s">
        <v>67</v>
      </c>
      <c r="AE305" s="2" t="s">
        <v>37</v>
      </c>
    </row>
    <row r="306" customFormat="false" ht="15" hidden="false" customHeight="false" outlineLevel="0" collapsed="false">
      <c r="A306" s="2" t="s">
        <v>410</v>
      </c>
      <c r="B306" s="2" t="s">
        <v>411</v>
      </c>
      <c r="C306" s="3" t="n">
        <v>80</v>
      </c>
      <c r="D306" s="2" t="s">
        <v>63</v>
      </c>
      <c r="E306" s="2" t="s">
        <v>64</v>
      </c>
      <c r="F306" s="3" t="n">
        <v>50</v>
      </c>
      <c r="G306" s="2" t="s">
        <v>73</v>
      </c>
      <c r="H306" s="4" t="n">
        <v>2640</v>
      </c>
      <c r="I306" s="4" t="n">
        <v>2640</v>
      </c>
      <c r="J306" s="2"/>
      <c r="K306" s="5" t="n">
        <v>46192</v>
      </c>
      <c r="L306" s="3"/>
      <c r="M306" s="3"/>
      <c r="N306" s="3" t="n">
        <v>1</v>
      </c>
      <c r="O306" s="3" t="n">
        <v>79</v>
      </c>
      <c r="P306" s="2"/>
      <c r="Q306" s="2" t="s">
        <v>68</v>
      </c>
      <c r="R306" s="2" t="s">
        <v>69</v>
      </c>
      <c r="S306" s="5" t="n">
        <v>46192</v>
      </c>
      <c r="T306" s="2" t="s">
        <v>51</v>
      </c>
      <c r="U306" s="5" t="n">
        <v>46192</v>
      </c>
      <c r="V306" s="2"/>
      <c r="W306" s="2" t="s">
        <v>70</v>
      </c>
      <c r="X306" s="2"/>
      <c r="Y306" s="2"/>
      <c r="Z306" s="2" t="s">
        <v>412</v>
      </c>
      <c r="AA306" s="2"/>
      <c r="AB306" s="3" t="n">
        <v>1442301</v>
      </c>
      <c r="AC306" s="2" t="s">
        <v>66</v>
      </c>
      <c r="AD306" s="2" t="s">
        <v>67</v>
      </c>
      <c r="AE306" s="2" t="s">
        <v>37</v>
      </c>
    </row>
    <row r="307" customFormat="false" ht="15" hidden="false" customHeight="false" outlineLevel="0" collapsed="false">
      <c r="A307" s="2" t="s">
        <v>413</v>
      </c>
      <c r="B307" s="2" t="s">
        <v>414</v>
      </c>
      <c r="C307" s="3" t="n">
        <v>83</v>
      </c>
      <c r="D307" s="2" t="s">
        <v>63</v>
      </c>
      <c r="E307" s="2" t="s">
        <v>64</v>
      </c>
      <c r="F307" s="3" t="n">
        <v>250</v>
      </c>
      <c r="G307" s="2" t="s">
        <v>65</v>
      </c>
      <c r="H307" s="4" t="n">
        <v>72.15</v>
      </c>
      <c r="I307" s="4" t="n">
        <v>72.15</v>
      </c>
      <c r="J307" s="5" t="n">
        <v>46185</v>
      </c>
      <c r="K307" s="2"/>
      <c r="L307" s="3" t="n">
        <v>83</v>
      </c>
      <c r="M307" s="3"/>
      <c r="N307" s="3"/>
      <c r="O307" s="3" t="n">
        <v>83</v>
      </c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3" t="n">
        <v>1442301</v>
      </c>
      <c r="AC307" s="2" t="s">
        <v>66</v>
      </c>
      <c r="AD307" s="2" t="s">
        <v>67</v>
      </c>
      <c r="AE307" s="2" t="s">
        <v>37</v>
      </c>
    </row>
    <row r="308" customFormat="false" ht="15" hidden="false" customHeight="false" outlineLevel="0" collapsed="false">
      <c r="A308" s="2" t="s">
        <v>413</v>
      </c>
      <c r="B308" s="2" t="s">
        <v>414</v>
      </c>
      <c r="C308" s="3" t="n">
        <v>83</v>
      </c>
      <c r="D308" s="2" t="s">
        <v>63</v>
      </c>
      <c r="E308" s="2" t="s">
        <v>64</v>
      </c>
      <c r="F308" s="3" t="n">
        <v>250</v>
      </c>
      <c r="G308" s="2" t="s">
        <v>65</v>
      </c>
      <c r="H308" s="4" t="n">
        <v>72.15</v>
      </c>
      <c r="I308" s="4" t="n">
        <v>72.15</v>
      </c>
      <c r="J308" s="2"/>
      <c r="K308" s="5" t="n">
        <v>46188</v>
      </c>
      <c r="L308" s="3"/>
      <c r="M308" s="3"/>
      <c r="N308" s="3" t="n">
        <v>1</v>
      </c>
      <c r="O308" s="3" t="n">
        <v>82</v>
      </c>
      <c r="P308" s="2" t="s">
        <v>123</v>
      </c>
      <c r="Q308" s="2" t="s">
        <v>124</v>
      </c>
      <c r="R308" s="2" t="s">
        <v>125</v>
      </c>
      <c r="S308" s="5" t="n">
        <v>46190</v>
      </c>
      <c r="T308" s="2" t="s">
        <v>51</v>
      </c>
      <c r="U308" s="5" t="n">
        <v>46192</v>
      </c>
      <c r="V308" s="2"/>
      <c r="W308" s="2"/>
      <c r="X308" s="2"/>
      <c r="Y308" s="2"/>
      <c r="Z308" s="2"/>
      <c r="AA308" s="2"/>
      <c r="AB308" s="3" t="n">
        <v>1442301</v>
      </c>
      <c r="AC308" s="2" t="s">
        <v>66</v>
      </c>
      <c r="AD308" s="2" t="s">
        <v>67</v>
      </c>
      <c r="AE308" s="2" t="s">
        <v>37</v>
      </c>
    </row>
    <row r="309" customFormat="false" ht="15" hidden="false" customHeight="false" outlineLevel="0" collapsed="false">
      <c r="A309" s="2" t="s">
        <v>413</v>
      </c>
      <c r="B309" s="2" t="s">
        <v>414</v>
      </c>
      <c r="C309" s="3" t="n">
        <v>83</v>
      </c>
      <c r="D309" s="2" t="s">
        <v>63</v>
      </c>
      <c r="E309" s="2" t="s">
        <v>64</v>
      </c>
      <c r="F309" s="3" t="n">
        <v>250</v>
      </c>
      <c r="G309" s="2" t="s">
        <v>65</v>
      </c>
      <c r="H309" s="4" t="n">
        <v>72.15</v>
      </c>
      <c r="I309" s="4" t="n">
        <v>72.15</v>
      </c>
      <c r="J309" s="2"/>
      <c r="K309" s="5" t="n">
        <v>46188</v>
      </c>
      <c r="L309" s="3"/>
      <c r="M309" s="3"/>
      <c r="N309" s="3" t="n">
        <v>5</v>
      </c>
      <c r="O309" s="3" t="n">
        <v>77</v>
      </c>
      <c r="P309" s="2" t="s">
        <v>108</v>
      </c>
      <c r="Q309" s="2" t="s">
        <v>109</v>
      </c>
      <c r="R309" s="2" t="s">
        <v>110</v>
      </c>
      <c r="S309" s="5" t="n">
        <v>46191</v>
      </c>
      <c r="T309" s="2" t="s">
        <v>55</v>
      </c>
      <c r="U309" s="5" t="n">
        <v>46192</v>
      </c>
      <c r="V309" s="2" t="s">
        <v>111</v>
      </c>
      <c r="W309" s="2" t="s">
        <v>112</v>
      </c>
      <c r="X309" s="2"/>
      <c r="Y309" s="2"/>
      <c r="Z309" s="2"/>
      <c r="AA309" s="2"/>
      <c r="AB309" s="3" t="n">
        <v>1442301</v>
      </c>
      <c r="AC309" s="2" t="s">
        <v>66</v>
      </c>
      <c r="AD309" s="2" t="s">
        <v>67</v>
      </c>
      <c r="AE309" s="2" t="s">
        <v>37</v>
      </c>
    </row>
    <row r="310" customFormat="false" ht="15" hidden="false" customHeight="false" outlineLevel="0" collapsed="false">
      <c r="A310" s="2" t="s">
        <v>413</v>
      </c>
      <c r="B310" s="2" t="s">
        <v>414</v>
      </c>
      <c r="C310" s="3" t="n">
        <v>83</v>
      </c>
      <c r="D310" s="2" t="s">
        <v>63</v>
      </c>
      <c r="E310" s="2" t="s">
        <v>64</v>
      </c>
      <c r="F310" s="3" t="n">
        <v>250</v>
      </c>
      <c r="G310" s="2" t="s">
        <v>65</v>
      </c>
      <c r="H310" s="4" t="n">
        <v>72.15</v>
      </c>
      <c r="I310" s="4" t="n">
        <v>72.15</v>
      </c>
      <c r="J310" s="2"/>
      <c r="K310" s="5" t="n">
        <v>46191</v>
      </c>
      <c r="L310" s="3"/>
      <c r="M310" s="3"/>
      <c r="N310" s="3" t="n">
        <v>2</v>
      </c>
      <c r="O310" s="3" t="n">
        <v>75</v>
      </c>
      <c r="P310" s="2" t="s">
        <v>135</v>
      </c>
      <c r="Q310" s="2" t="s">
        <v>136</v>
      </c>
      <c r="R310" s="2" t="s">
        <v>137</v>
      </c>
      <c r="S310" s="5" t="n">
        <v>46191</v>
      </c>
      <c r="T310" s="2" t="s">
        <v>51</v>
      </c>
      <c r="U310" s="5" t="n">
        <v>46196</v>
      </c>
      <c r="V310" s="2"/>
      <c r="W310" s="2"/>
      <c r="X310" s="2"/>
      <c r="Y310" s="2"/>
      <c r="Z310" s="2"/>
      <c r="AA310" s="2"/>
      <c r="AB310" s="3" t="n">
        <v>1442301</v>
      </c>
      <c r="AC310" s="2" t="s">
        <v>66</v>
      </c>
      <c r="AD310" s="2" t="s">
        <v>67</v>
      </c>
      <c r="AE310" s="2" t="s">
        <v>37</v>
      </c>
    </row>
    <row r="311" customFormat="false" ht="15" hidden="false" customHeight="false" outlineLevel="0" collapsed="false">
      <c r="A311" s="2" t="s">
        <v>413</v>
      </c>
      <c r="B311" s="2" t="s">
        <v>414</v>
      </c>
      <c r="C311" s="3" t="n">
        <v>83</v>
      </c>
      <c r="D311" s="2" t="s">
        <v>63</v>
      </c>
      <c r="E311" s="2" t="s">
        <v>64</v>
      </c>
      <c r="F311" s="3" t="n">
        <v>250</v>
      </c>
      <c r="G311" s="2" t="s">
        <v>65</v>
      </c>
      <c r="H311" s="4" t="n">
        <v>72.15</v>
      </c>
      <c r="I311" s="4" t="n">
        <v>72.15</v>
      </c>
      <c r="J311" s="2"/>
      <c r="K311" s="5" t="n">
        <v>46192</v>
      </c>
      <c r="L311" s="3"/>
      <c r="M311" s="3"/>
      <c r="N311" s="3" t="n">
        <v>3</v>
      </c>
      <c r="O311" s="3" t="n">
        <v>72</v>
      </c>
      <c r="P311" s="2"/>
      <c r="Q311" s="2" t="s">
        <v>68</v>
      </c>
      <c r="R311" s="2" t="s">
        <v>69</v>
      </c>
      <c r="S311" s="5" t="n">
        <v>46192</v>
      </c>
      <c r="T311" s="2" t="s">
        <v>51</v>
      </c>
      <c r="U311" s="5" t="n">
        <v>46192</v>
      </c>
      <c r="V311" s="2"/>
      <c r="W311" s="2" t="s">
        <v>70</v>
      </c>
      <c r="X311" s="2"/>
      <c r="Y311" s="2"/>
      <c r="Z311" s="2"/>
      <c r="AA311" s="2"/>
      <c r="AB311" s="3" t="n">
        <v>1442301</v>
      </c>
      <c r="AC311" s="2" t="s">
        <v>66</v>
      </c>
      <c r="AD311" s="2" t="s">
        <v>67</v>
      </c>
      <c r="AE311" s="2" t="s">
        <v>37</v>
      </c>
    </row>
    <row r="312" customFormat="false" ht="15" hidden="false" customHeight="false" outlineLevel="0" collapsed="false">
      <c r="A312" s="2" t="s">
        <v>413</v>
      </c>
      <c r="B312" s="2" t="s">
        <v>414</v>
      </c>
      <c r="C312" s="3" t="n">
        <v>83</v>
      </c>
      <c r="D312" s="2" t="s">
        <v>63</v>
      </c>
      <c r="E312" s="2" t="s">
        <v>64</v>
      </c>
      <c r="F312" s="3" t="n">
        <v>250</v>
      </c>
      <c r="G312" s="2" t="s">
        <v>65</v>
      </c>
      <c r="H312" s="4" t="n">
        <v>72.15</v>
      </c>
      <c r="I312" s="4" t="n">
        <v>72.15</v>
      </c>
      <c r="J312" s="2"/>
      <c r="K312" s="5" t="n">
        <v>46205</v>
      </c>
      <c r="L312" s="3"/>
      <c r="M312" s="3"/>
      <c r="N312" s="3" t="n">
        <v>2</v>
      </c>
      <c r="O312" s="3" t="n">
        <v>70</v>
      </c>
      <c r="P312" s="2" t="s">
        <v>85</v>
      </c>
      <c r="Q312" s="2" t="s">
        <v>86</v>
      </c>
      <c r="R312" s="2" t="s">
        <v>87</v>
      </c>
      <c r="S312" s="5" t="n">
        <v>46209</v>
      </c>
      <c r="T312" s="2" t="s">
        <v>51</v>
      </c>
      <c r="U312" s="5" t="n">
        <v>46212</v>
      </c>
      <c r="V312" s="2" t="s">
        <v>88</v>
      </c>
      <c r="W312" s="2" t="s">
        <v>89</v>
      </c>
      <c r="X312" s="2"/>
      <c r="Y312" s="2"/>
      <c r="Z312" s="2"/>
      <c r="AA312" s="2"/>
      <c r="AB312" s="3" t="n">
        <v>1442301</v>
      </c>
      <c r="AC312" s="2" t="s">
        <v>66</v>
      </c>
      <c r="AD312" s="2" t="s">
        <v>67</v>
      </c>
      <c r="AE312" s="2" t="s">
        <v>37</v>
      </c>
    </row>
    <row r="313" customFormat="false" ht="15" hidden="false" customHeight="false" outlineLevel="0" collapsed="false">
      <c r="A313" s="2" t="s">
        <v>413</v>
      </c>
      <c r="B313" s="2" t="s">
        <v>414</v>
      </c>
      <c r="C313" s="3" t="n">
        <v>83</v>
      </c>
      <c r="D313" s="2" t="s">
        <v>63</v>
      </c>
      <c r="E313" s="2" t="s">
        <v>64</v>
      </c>
      <c r="F313" s="3" t="n">
        <v>250</v>
      </c>
      <c r="G313" s="2" t="s">
        <v>65</v>
      </c>
      <c r="H313" s="4" t="n">
        <v>72.15</v>
      </c>
      <c r="I313" s="4" t="n">
        <v>72.15</v>
      </c>
      <c r="J313" s="2"/>
      <c r="K313" s="5" t="n">
        <v>46213</v>
      </c>
      <c r="L313" s="3"/>
      <c r="M313" s="3"/>
      <c r="N313" s="3" t="n">
        <v>30</v>
      </c>
      <c r="O313" s="3" t="n">
        <v>40</v>
      </c>
      <c r="P313" s="2" t="s">
        <v>162</v>
      </c>
      <c r="Q313" s="2" t="s">
        <v>163</v>
      </c>
      <c r="R313" s="2" t="s">
        <v>164</v>
      </c>
      <c r="S313" s="5" t="n">
        <v>46213</v>
      </c>
      <c r="T313" s="2" t="s">
        <v>51</v>
      </c>
      <c r="U313" s="5" t="n">
        <v>46213</v>
      </c>
      <c r="V313" s="2" t="s">
        <v>165</v>
      </c>
      <c r="W313" s="2" t="s">
        <v>166</v>
      </c>
      <c r="X313" s="2"/>
      <c r="Y313" s="2"/>
      <c r="Z313" s="2"/>
      <c r="AA313" s="2"/>
      <c r="AB313" s="3" t="n">
        <v>1442301</v>
      </c>
      <c r="AC313" s="2" t="s">
        <v>66</v>
      </c>
      <c r="AD313" s="2" t="s">
        <v>67</v>
      </c>
      <c r="AE313" s="2" t="s">
        <v>37</v>
      </c>
    </row>
    <row r="314" customFormat="false" ht="15" hidden="false" customHeight="false" outlineLevel="0" collapsed="false">
      <c r="A314" s="2" t="s">
        <v>415</v>
      </c>
      <c r="B314" s="2" t="s">
        <v>416</v>
      </c>
      <c r="C314" s="3" t="n">
        <v>252</v>
      </c>
      <c r="D314" s="2" t="s">
        <v>63</v>
      </c>
      <c r="E314" s="2" t="s">
        <v>64</v>
      </c>
      <c r="F314" s="3" t="n">
        <v>250</v>
      </c>
      <c r="G314" s="2" t="s">
        <v>65</v>
      </c>
      <c r="H314" s="4" t="n">
        <v>92.13</v>
      </c>
      <c r="I314" s="4" t="n">
        <v>92.13</v>
      </c>
      <c r="J314" s="5" t="n">
        <v>46185</v>
      </c>
      <c r="K314" s="2"/>
      <c r="L314" s="3" t="n">
        <v>252</v>
      </c>
      <c r="M314" s="3"/>
      <c r="N314" s="3"/>
      <c r="O314" s="3" t="n">
        <v>252</v>
      </c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3" t="n">
        <v>1442301</v>
      </c>
      <c r="AC314" s="2" t="s">
        <v>66</v>
      </c>
      <c r="AD314" s="2" t="s">
        <v>67</v>
      </c>
      <c r="AE314" s="2" t="s">
        <v>37</v>
      </c>
    </row>
    <row r="315" customFormat="false" ht="15" hidden="false" customHeight="false" outlineLevel="0" collapsed="false">
      <c r="A315" s="2" t="s">
        <v>415</v>
      </c>
      <c r="B315" s="2" t="s">
        <v>416</v>
      </c>
      <c r="C315" s="3" t="n">
        <v>252</v>
      </c>
      <c r="D315" s="2" t="s">
        <v>63</v>
      </c>
      <c r="E315" s="2" t="s">
        <v>64</v>
      </c>
      <c r="F315" s="3" t="n">
        <v>250</v>
      </c>
      <c r="G315" s="2" t="s">
        <v>65</v>
      </c>
      <c r="H315" s="4" t="n">
        <v>92.13</v>
      </c>
      <c r="I315" s="4" t="n">
        <v>92.13</v>
      </c>
      <c r="J315" s="2"/>
      <c r="K315" s="5" t="n">
        <v>46188</v>
      </c>
      <c r="L315" s="3"/>
      <c r="M315" s="3"/>
      <c r="N315" s="3" t="n">
        <v>2</v>
      </c>
      <c r="O315" s="3" t="n">
        <v>250</v>
      </c>
      <c r="P315" s="2" t="s">
        <v>156</v>
      </c>
      <c r="Q315" s="2" t="s">
        <v>157</v>
      </c>
      <c r="R315" s="2" t="s">
        <v>158</v>
      </c>
      <c r="S315" s="5" t="n">
        <v>46190</v>
      </c>
      <c r="T315" s="2" t="s">
        <v>51</v>
      </c>
      <c r="U315" s="5" t="n">
        <v>46190</v>
      </c>
      <c r="V315" s="2"/>
      <c r="W315" s="2"/>
      <c r="X315" s="2"/>
      <c r="Y315" s="2"/>
      <c r="Z315" s="2"/>
      <c r="AA315" s="2"/>
      <c r="AB315" s="3" t="n">
        <v>1442301</v>
      </c>
      <c r="AC315" s="2" t="s">
        <v>66</v>
      </c>
      <c r="AD315" s="2" t="s">
        <v>67</v>
      </c>
      <c r="AE315" s="2" t="s">
        <v>37</v>
      </c>
    </row>
    <row r="316" customFormat="false" ht="15" hidden="false" customHeight="false" outlineLevel="0" collapsed="false">
      <c r="A316" s="2" t="s">
        <v>415</v>
      </c>
      <c r="B316" s="2" t="s">
        <v>416</v>
      </c>
      <c r="C316" s="3" t="n">
        <v>252</v>
      </c>
      <c r="D316" s="2" t="s">
        <v>63</v>
      </c>
      <c r="E316" s="2" t="s">
        <v>64</v>
      </c>
      <c r="F316" s="3" t="n">
        <v>250</v>
      </c>
      <c r="G316" s="2" t="s">
        <v>65</v>
      </c>
      <c r="H316" s="4" t="n">
        <v>92.13</v>
      </c>
      <c r="I316" s="4" t="n">
        <v>92.13</v>
      </c>
      <c r="J316" s="2"/>
      <c r="K316" s="5" t="n">
        <v>46188</v>
      </c>
      <c r="L316" s="3"/>
      <c r="M316" s="3"/>
      <c r="N316" s="3" t="n">
        <v>3</v>
      </c>
      <c r="O316" s="3" t="n">
        <v>247</v>
      </c>
      <c r="P316" s="2" t="s">
        <v>123</v>
      </c>
      <c r="Q316" s="2" t="s">
        <v>124</v>
      </c>
      <c r="R316" s="2" t="s">
        <v>125</v>
      </c>
      <c r="S316" s="5" t="n">
        <v>46190</v>
      </c>
      <c r="T316" s="2" t="s">
        <v>51</v>
      </c>
      <c r="U316" s="5" t="n">
        <v>46192</v>
      </c>
      <c r="V316" s="2"/>
      <c r="W316" s="2"/>
      <c r="X316" s="2"/>
      <c r="Y316" s="2"/>
      <c r="Z316" s="2"/>
      <c r="AA316" s="2"/>
      <c r="AB316" s="3" t="n">
        <v>1442301</v>
      </c>
      <c r="AC316" s="2" t="s">
        <v>66</v>
      </c>
      <c r="AD316" s="2" t="s">
        <v>67</v>
      </c>
      <c r="AE316" s="2" t="s">
        <v>37</v>
      </c>
    </row>
    <row r="317" customFormat="false" ht="15" hidden="false" customHeight="false" outlineLevel="0" collapsed="false">
      <c r="A317" s="2" t="s">
        <v>415</v>
      </c>
      <c r="B317" s="2" t="s">
        <v>416</v>
      </c>
      <c r="C317" s="3" t="n">
        <v>252</v>
      </c>
      <c r="D317" s="2" t="s">
        <v>63</v>
      </c>
      <c r="E317" s="2" t="s">
        <v>64</v>
      </c>
      <c r="F317" s="3" t="n">
        <v>250</v>
      </c>
      <c r="G317" s="2" t="s">
        <v>65</v>
      </c>
      <c r="H317" s="4" t="n">
        <v>92.13</v>
      </c>
      <c r="I317" s="4" t="n">
        <v>92.13</v>
      </c>
      <c r="J317" s="2"/>
      <c r="K317" s="5" t="n">
        <v>46188</v>
      </c>
      <c r="L317" s="3"/>
      <c r="M317" s="3"/>
      <c r="N317" s="3" t="n">
        <v>5</v>
      </c>
      <c r="O317" s="3" t="n">
        <v>242</v>
      </c>
      <c r="P317" s="2"/>
      <c r="Q317" s="2" t="s">
        <v>109</v>
      </c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3" t="n">
        <v>1442301</v>
      </c>
      <c r="AC317" s="2" t="s">
        <v>66</v>
      </c>
      <c r="AD317" s="2" t="s">
        <v>67</v>
      </c>
      <c r="AE317" s="2" t="s">
        <v>37</v>
      </c>
    </row>
    <row r="318" customFormat="false" ht="15" hidden="false" customHeight="false" outlineLevel="0" collapsed="false">
      <c r="A318" s="2" t="s">
        <v>415</v>
      </c>
      <c r="B318" s="2" t="s">
        <v>416</v>
      </c>
      <c r="C318" s="3" t="n">
        <v>252</v>
      </c>
      <c r="D318" s="2" t="s">
        <v>63</v>
      </c>
      <c r="E318" s="2" t="s">
        <v>64</v>
      </c>
      <c r="F318" s="3" t="n">
        <v>250</v>
      </c>
      <c r="G318" s="2" t="s">
        <v>65</v>
      </c>
      <c r="H318" s="4" t="n">
        <v>92.13</v>
      </c>
      <c r="I318" s="4" t="n">
        <v>92.13</v>
      </c>
      <c r="J318" s="2"/>
      <c r="K318" s="5" t="n">
        <v>46191</v>
      </c>
      <c r="L318" s="3"/>
      <c r="M318" s="3"/>
      <c r="N318" s="3" t="n">
        <v>4</v>
      </c>
      <c r="O318" s="3" t="n">
        <v>238</v>
      </c>
      <c r="P318" s="2" t="s">
        <v>132</v>
      </c>
      <c r="Q318" s="2" t="s">
        <v>133</v>
      </c>
      <c r="R318" s="2" t="s">
        <v>134</v>
      </c>
      <c r="S318" s="5" t="n">
        <v>46191</v>
      </c>
      <c r="T318" s="2" t="s">
        <v>51</v>
      </c>
      <c r="U318" s="5" t="n">
        <v>46195</v>
      </c>
      <c r="V318" s="2"/>
      <c r="W318" s="2"/>
      <c r="X318" s="2"/>
      <c r="Y318" s="2"/>
      <c r="Z318" s="2"/>
      <c r="AA318" s="2"/>
      <c r="AB318" s="3" t="n">
        <v>1442301</v>
      </c>
      <c r="AC318" s="2" t="s">
        <v>66</v>
      </c>
      <c r="AD318" s="2" t="s">
        <v>67</v>
      </c>
      <c r="AE318" s="2" t="s">
        <v>37</v>
      </c>
    </row>
    <row r="319" customFormat="false" ht="15" hidden="false" customHeight="false" outlineLevel="0" collapsed="false">
      <c r="A319" s="2" t="s">
        <v>415</v>
      </c>
      <c r="B319" s="2" t="s">
        <v>416</v>
      </c>
      <c r="C319" s="3" t="n">
        <v>252</v>
      </c>
      <c r="D319" s="2" t="s">
        <v>63</v>
      </c>
      <c r="E319" s="2" t="s">
        <v>64</v>
      </c>
      <c r="F319" s="3" t="n">
        <v>250</v>
      </c>
      <c r="G319" s="2" t="s">
        <v>65</v>
      </c>
      <c r="H319" s="4" t="n">
        <v>92.13</v>
      </c>
      <c r="I319" s="4" t="n">
        <v>92.13</v>
      </c>
      <c r="J319" s="2"/>
      <c r="K319" s="5" t="n">
        <v>46191</v>
      </c>
      <c r="L319" s="3"/>
      <c r="M319" s="3"/>
      <c r="N319" s="3" t="n">
        <v>2</v>
      </c>
      <c r="O319" s="3" t="n">
        <v>236</v>
      </c>
      <c r="P319" s="2" t="s">
        <v>135</v>
      </c>
      <c r="Q319" s="2" t="s">
        <v>136</v>
      </c>
      <c r="R319" s="2" t="s">
        <v>137</v>
      </c>
      <c r="S319" s="5" t="n">
        <v>46191</v>
      </c>
      <c r="T319" s="2" t="s">
        <v>51</v>
      </c>
      <c r="U319" s="5" t="n">
        <v>46196</v>
      </c>
      <c r="V319" s="2"/>
      <c r="W319" s="2"/>
      <c r="X319" s="2"/>
      <c r="Y319" s="2"/>
      <c r="Z319" s="2"/>
      <c r="AA319" s="2"/>
      <c r="AB319" s="3" t="n">
        <v>1442301</v>
      </c>
      <c r="AC319" s="2" t="s">
        <v>66</v>
      </c>
      <c r="AD319" s="2" t="s">
        <v>67</v>
      </c>
      <c r="AE319" s="2" t="s">
        <v>37</v>
      </c>
    </row>
    <row r="320" customFormat="false" ht="15" hidden="false" customHeight="false" outlineLevel="0" collapsed="false">
      <c r="A320" s="2" t="s">
        <v>415</v>
      </c>
      <c r="B320" s="2" t="s">
        <v>416</v>
      </c>
      <c r="C320" s="3" t="n">
        <v>252</v>
      </c>
      <c r="D320" s="2" t="s">
        <v>63</v>
      </c>
      <c r="E320" s="2" t="s">
        <v>64</v>
      </c>
      <c r="F320" s="3" t="n">
        <v>250</v>
      </c>
      <c r="G320" s="2" t="s">
        <v>65</v>
      </c>
      <c r="H320" s="4" t="n">
        <v>92.13</v>
      </c>
      <c r="I320" s="4" t="n">
        <v>92.13</v>
      </c>
      <c r="J320" s="2"/>
      <c r="K320" s="5" t="n">
        <v>46191</v>
      </c>
      <c r="L320" s="3"/>
      <c r="M320" s="3"/>
      <c r="N320" s="3" t="n">
        <v>2</v>
      </c>
      <c r="O320" s="3" t="n">
        <v>234</v>
      </c>
      <c r="P320" s="2" t="s">
        <v>90</v>
      </c>
      <c r="Q320" s="2" t="s">
        <v>91</v>
      </c>
      <c r="R320" s="2" t="s">
        <v>92</v>
      </c>
      <c r="S320" s="5" t="n">
        <v>46191</v>
      </c>
      <c r="T320" s="2" t="s">
        <v>55</v>
      </c>
      <c r="U320" s="5" t="n">
        <v>46199</v>
      </c>
      <c r="V320" s="2"/>
      <c r="W320" s="2"/>
      <c r="X320" s="2"/>
      <c r="Y320" s="2"/>
      <c r="Z320" s="2"/>
      <c r="AA320" s="2"/>
      <c r="AB320" s="3" t="n">
        <v>1442301</v>
      </c>
      <c r="AC320" s="2" t="s">
        <v>66</v>
      </c>
      <c r="AD320" s="2" t="s">
        <v>67</v>
      </c>
      <c r="AE320" s="2" t="s">
        <v>37</v>
      </c>
    </row>
    <row r="321" customFormat="false" ht="15" hidden="false" customHeight="false" outlineLevel="0" collapsed="false">
      <c r="A321" s="2" t="s">
        <v>415</v>
      </c>
      <c r="B321" s="2" t="s">
        <v>416</v>
      </c>
      <c r="C321" s="3" t="n">
        <v>252</v>
      </c>
      <c r="D321" s="2" t="s">
        <v>63</v>
      </c>
      <c r="E321" s="2" t="s">
        <v>64</v>
      </c>
      <c r="F321" s="3" t="n">
        <v>250</v>
      </c>
      <c r="G321" s="2" t="s">
        <v>65</v>
      </c>
      <c r="H321" s="4" t="n">
        <v>92.13</v>
      </c>
      <c r="I321" s="4" t="n">
        <v>92.13</v>
      </c>
      <c r="J321" s="2"/>
      <c r="K321" s="5" t="n">
        <v>46192</v>
      </c>
      <c r="L321" s="3"/>
      <c r="M321" s="3"/>
      <c r="N321" s="3" t="n">
        <v>3</v>
      </c>
      <c r="O321" s="3" t="n">
        <v>231</v>
      </c>
      <c r="P321" s="2"/>
      <c r="Q321" s="2" t="s">
        <v>68</v>
      </c>
      <c r="R321" s="2" t="s">
        <v>69</v>
      </c>
      <c r="S321" s="5" t="n">
        <v>46192</v>
      </c>
      <c r="T321" s="2" t="s">
        <v>51</v>
      </c>
      <c r="U321" s="5" t="n">
        <v>46192</v>
      </c>
      <c r="V321" s="2"/>
      <c r="W321" s="2" t="s">
        <v>70</v>
      </c>
      <c r="X321" s="2"/>
      <c r="Y321" s="2"/>
      <c r="Z321" s="2"/>
      <c r="AA321" s="2"/>
      <c r="AB321" s="3" t="n">
        <v>1442301</v>
      </c>
      <c r="AC321" s="2" t="s">
        <v>66</v>
      </c>
      <c r="AD321" s="2" t="s">
        <v>67</v>
      </c>
      <c r="AE321" s="2" t="s">
        <v>37</v>
      </c>
    </row>
    <row r="322" customFormat="false" ht="15" hidden="false" customHeight="false" outlineLevel="0" collapsed="false">
      <c r="A322" s="2" t="s">
        <v>415</v>
      </c>
      <c r="B322" s="2" t="s">
        <v>416</v>
      </c>
      <c r="C322" s="3" t="n">
        <v>252</v>
      </c>
      <c r="D322" s="2" t="s">
        <v>63</v>
      </c>
      <c r="E322" s="2" t="s">
        <v>64</v>
      </c>
      <c r="F322" s="3" t="n">
        <v>250</v>
      </c>
      <c r="G322" s="2" t="s">
        <v>65</v>
      </c>
      <c r="H322" s="4" t="n">
        <v>92.13</v>
      </c>
      <c r="I322" s="4" t="n">
        <v>92.13</v>
      </c>
      <c r="J322" s="2"/>
      <c r="K322" s="5" t="n">
        <v>46191</v>
      </c>
      <c r="L322" s="3"/>
      <c r="M322" s="3"/>
      <c r="N322" s="3" t="n">
        <v>3</v>
      </c>
      <c r="O322" s="3" t="n">
        <v>228</v>
      </c>
      <c r="P322" s="2" t="s">
        <v>85</v>
      </c>
      <c r="Q322" s="2" t="s">
        <v>86</v>
      </c>
      <c r="R322" s="2" t="s">
        <v>87</v>
      </c>
      <c r="S322" s="5" t="n">
        <v>46209</v>
      </c>
      <c r="T322" s="2" t="s">
        <v>51</v>
      </c>
      <c r="U322" s="5" t="n">
        <v>46212</v>
      </c>
      <c r="V322" s="2" t="s">
        <v>88</v>
      </c>
      <c r="W322" s="2" t="s">
        <v>89</v>
      </c>
      <c r="X322" s="2"/>
      <c r="Y322" s="2"/>
      <c r="Z322" s="2"/>
      <c r="AA322" s="2"/>
      <c r="AB322" s="3" t="n">
        <v>1442301</v>
      </c>
      <c r="AC322" s="2" t="s">
        <v>66</v>
      </c>
      <c r="AD322" s="2" t="s">
        <v>67</v>
      </c>
      <c r="AE322" s="2" t="s">
        <v>37</v>
      </c>
    </row>
    <row r="323" customFormat="false" ht="15" hidden="false" customHeight="false" outlineLevel="0" collapsed="false">
      <c r="A323" s="2" t="s">
        <v>415</v>
      </c>
      <c r="B323" s="2" t="s">
        <v>416</v>
      </c>
      <c r="C323" s="3" t="n">
        <v>252</v>
      </c>
      <c r="D323" s="2" t="s">
        <v>63</v>
      </c>
      <c r="E323" s="2" t="s">
        <v>64</v>
      </c>
      <c r="F323" s="3" t="n">
        <v>250</v>
      </c>
      <c r="G323" s="2" t="s">
        <v>65</v>
      </c>
      <c r="H323" s="4" t="n">
        <v>92.13</v>
      </c>
      <c r="I323" s="4" t="n">
        <v>92.13</v>
      </c>
      <c r="J323" s="2"/>
      <c r="K323" s="5" t="n">
        <v>46213</v>
      </c>
      <c r="L323" s="3"/>
      <c r="M323" s="3"/>
      <c r="N323" s="3" t="n">
        <v>35</v>
      </c>
      <c r="O323" s="3" t="n">
        <v>193</v>
      </c>
      <c r="P323" s="2" t="s">
        <v>162</v>
      </c>
      <c r="Q323" s="2" t="s">
        <v>163</v>
      </c>
      <c r="R323" s="2" t="s">
        <v>164</v>
      </c>
      <c r="S323" s="5" t="n">
        <v>46213</v>
      </c>
      <c r="T323" s="2" t="s">
        <v>51</v>
      </c>
      <c r="U323" s="5" t="n">
        <v>46213</v>
      </c>
      <c r="V323" s="2" t="s">
        <v>165</v>
      </c>
      <c r="W323" s="2" t="s">
        <v>166</v>
      </c>
      <c r="X323" s="2"/>
      <c r="Y323" s="2"/>
      <c r="Z323" s="2"/>
      <c r="AA323" s="2"/>
      <c r="AB323" s="3" t="n">
        <v>1442301</v>
      </c>
      <c r="AC323" s="2" t="s">
        <v>66</v>
      </c>
      <c r="AD323" s="2" t="s">
        <v>67</v>
      </c>
      <c r="AE323" s="2" t="s">
        <v>37</v>
      </c>
    </row>
    <row r="324" customFormat="false" ht="15" hidden="false" customHeight="false" outlineLevel="0" collapsed="false">
      <c r="A324" s="2" t="s">
        <v>417</v>
      </c>
      <c r="B324" s="2" t="s">
        <v>418</v>
      </c>
      <c r="C324" s="3" t="n">
        <v>23</v>
      </c>
      <c r="D324" s="2" t="s">
        <v>63</v>
      </c>
      <c r="E324" s="2" t="s">
        <v>64</v>
      </c>
      <c r="F324" s="3" t="n">
        <v>100</v>
      </c>
      <c r="G324" s="2" t="s">
        <v>73</v>
      </c>
      <c r="H324" s="4" t="n">
        <v>176</v>
      </c>
      <c r="I324" s="4" t="n">
        <v>176</v>
      </c>
      <c r="J324" s="5" t="n">
        <v>46185</v>
      </c>
      <c r="K324" s="2"/>
      <c r="L324" s="3" t="n">
        <v>23</v>
      </c>
      <c r="M324" s="3"/>
      <c r="N324" s="3"/>
      <c r="O324" s="3" t="n">
        <v>23</v>
      </c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3" t="n">
        <v>1442301</v>
      </c>
      <c r="AC324" s="2" t="s">
        <v>66</v>
      </c>
      <c r="AD324" s="2" t="s">
        <v>67</v>
      </c>
      <c r="AE324" s="2" t="s">
        <v>37</v>
      </c>
    </row>
    <row r="325" customFormat="false" ht="15" hidden="false" customHeight="false" outlineLevel="0" collapsed="false">
      <c r="A325" s="2" t="s">
        <v>417</v>
      </c>
      <c r="B325" s="2" t="s">
        <v>418</v>
      </c>
      <c r="C325" s="3" t="n">
        <v>23</v>
      </c>
      <c r="D325" s="2" t="s">
        <v>63</v>
      </c>
      <c r="E325" s="2" t="s">
        <v>64</v>
      </c>
      <c r="F325" s="3" t="n">
        <v>100</v>
      </c>
      <c r="G325" s="2" t="s">
        <v>73</v>
      </c>
      <c r="H325" s="4" t="n">
        <v>176</v>
      </c>
      <c r="I325" s="4" t="n">
        <v>176</v>
      </c>
      <c r="J325" s="2"/>
      <c r="K325" s="5" t="n">
        <v>46188</v>
      </c>
      <c r="L325" s="3"/>
      <c r="M325" s="3"/>
      <c r="N325" s="3" t="n">
        <v>1</v>
      </c>
      <c r="O325" s="3" t="n">
        <v>22</v>
      </c>
      <c r="P325" s="2" t="s">
        <v>108</v>
      </c>
      <c r="Q325" s="2" t="s">
        <v>109</v>
      </c>
      <c r="R325" s="2" t="s">
        <v>110</v>
      </c>
      <c r="S325" s="5" t="n">
        <v>46191</v>
      </c>
      <c r="T325" s="2" t="s">
        <v>55</v>
      </c>
      <c r="U325" s="5" t="n">
        <v>46192</v>
      </c>
      <c r="V325" s="2" t="s">
        <v>111</v>
      </c>
      <c r="W325" s="2" t="s">
        <v>112</v>
      </c>
      <c r="X325" s="2"/>
      <c r="Y325" s="2"/>
      <c r="Z325" s="2"/>
      <c r="AA325" s="2"/>
      <c r="AB325" s="3" t="n">
        <v>1442301</v>
      </c>
      <c r="AC325" s="2" t="s">
        <v>66</v>
      </c>
      <c r="AD325" s="2" t="s">
        <v>67</v>
      </c>
      <c r="AE325" s="2" t="s">
        <v>37</v>
      </c>
    </row>
    <row r="326" customFormat="false" ht="15" hidden="false" customHeight="false" outlineLevel="0" collapsed="false">
      <c r="A326" s="2" t="s">
        <v>417</v>
      </c>
      <c r="B326" s="2" t="s">
        <v>418</v>
      </c>
      <c r="C326" s="3" t="n">
        <v>23</v>
      </c>
      <c r="D326" s="2" t="s">
        <v>63</v>
      </c>
      <c r="E326" s="2" t="s">
        <v>64</v>
      </c>
      <c r="F326" s="3" t="n">
        <v>100</v>
      </c>
      <c r="G326" s="2" t="s">
        <v>73</v>
      </c>
      <c r="H326" s="4" t="n">
        <v>176</v>
      </c>
      <c r="I326" s="4" t="n">
        <v>176</v>
      </c>
      <c r="J326" s="2"/>
      <c r="K326" s="5" t="n">
        <v>46192</v>
      </c>
      <c r="L326" s="3"/>
      <c r="M326" s="3"/>
      <c r="N326" s="3" t="n">
        <v>1</v>
      </c>
      <c r="O326" s="3" t="n">
        <v>21</v>
      </c>
      <c r="P326" s="2"/>
      <c r="Q326" s="2" t="s">
        <v>68</v>
      </c>
      <c r="R326" s="2" t="s">
        <v>69</v>
      </c>
      <c r="S326" s="5" t="n">
        <v>46192</v>
      </c>
      <c r="T326" s="2" t="s">
        <v>51</v>
      </c>
      <c r="U326" s="5" t="n">
        <v>46192</v>
      </c>
      <c r="V326" s="2"/>
      <c r="W326" s="2" t="s">
        <v>70</v>
      </c>
      <c r="X326" s="2"/>
      <c r="Y326" s="2"/>
      <c r="Z326" s="2"/>
      <c r="AA326" s="2"/>
      <c r="AB326" s="3" t="n">
        <v>1442301</v>
      </c>
      <c r="AC326" s="2" t="s">
        <v>66</v>
      </c>
      <c r="AD326" s="2" t="s">
        <v>67</v>
      </c>
      <c r="AE326" s="2" t="s">
        <v>37</v>
      </c>
    </row>
    <row r="327" customFormat="false" ht="15" hidden="false" customHeight="false" outlineLevel="0" collapsed="false">
      <c r="A327" s="2" t="s">
        <v>419</v>
      </c>
      <c r="B327" s="2" t="s">
        <v>420</v>
      </c>
      <c r="C327" s="3" t="n">
        <v>54</v>
      </c>
      <c r="D327" s="2" t="s">
        <v>63</v>
      </c>
      <c r="E327" s="2" t="s">
        <v>64</v>
      </c>
      <c r="F327" s="3" t="n">
        <v>100</v>
      </c>
      <c r="G327" s="2" t="s">
        <v>73</v>
      </c>
      <c r="H327" s="4" t="n">
        <v>440</v>
      </c>
      <c r="I327" s="4" t="n">
        <v>440</v>
      </c>
      <c r="J327" s="5" t="n">
        <v>46185</v>
      </c>
      <c r="K327" s="2"/>
      <c r="L327" s="3" t="n">
        <v>54</v>
      </c>
      <c r="M327" s="3"/>
      <c r="N327" s="3"/>
      <c r="O327" s="3" t="n">
        <v>54</v>
      </c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3" t="n">
        <v>1442301</v>
      </c>
      <c r="AC327" s="2" t="s">
        <v>66</v>
      </c>
      <c r="AD327" s="2" t="s">
        <v>67</v>
      </c>
      <c r="AE327" s="2" t="s">
        <v>37</v>
      </c>
    </row>
    <row r="328" customFormat="false" ht="15" hidden="false" customHeight="false" outlineLevel="0" collapsed="false">
      <c r="A328" s="2" t="s">
        <v>419</v>
      </c>
      <c r="B328" s="2" t="s">
        <v>420</v>
      </c>
      <c r="C328" s="3" t="n">
        <v>54</v>
      </c>
      <c r="D328" s="2" t="s">
        <v>63</v>
      </c>
      <c r="E328" s="2" t="s">
        <v>64</v>
      </c>
      <c r="F328" s="3" t="n">
        <v>100</v>
      </c>
      <c r="G328" s="2" t="s">
        <v>73</v>
      </c>
      <c r="H328" s="4" t="n">
        <v>440</v>
      </c>
      <c r="I328" s="4" t="n">
        <v>440</v>
      </c>
      <c r="J328" s="2"/>
      <c r="K328" s="5" t="n">
        <v>46188</v>
      </c>
      <c r="L328" s="3"/>
      <c r="M328" s="3"/>
      <c r="N328" s="3" t="n">
        <v>1</v>
      </c>
      <c r="O328" s="3" t="n">
        <v>53</v>
      </c>
      <c r="P328" s="2" t="s">
        <v>108</v>
      </c>
      <c r="Q328" s="2" t="s">
        <v>109</v>
      </c>
      <c r="R328" s="2" t="s">
        <v>110</v>
      </c>
      <c r="S328" s="5" t="n">
        <v>46191</v>
      </c>
      <c r="T328" s="2" t="s">
        <v>55</v>
      </c>
      <c r="U328" s="5" t="n">
        <v>46192</v>
      </c>
      <c r="V328" s="2" t="s">
        <v>111</v>
      </c>
      <c r="W328" s="2" t="s">
        <v>112</v>
      </c>
      <c r="X328" s="2"/>
      <c r="Y328" s="2"/>
      <c r="Z328" s="2"/>
      <c r="AA328" s="2"/>
      <c r="AB328" s="3" t="n">
        <v>1442301</v>
      </c>
      <c r="AC328" s="2" t="s">
        <v>66</v>
      </c>
      <c r="AD328" s="2" t="s">
        <v>67</v>
      </c>
      <c r="AE328" s="2" t="s">
        <v>37</v>
      </c>
    </row>
    <row r="329" customFormat="false" ht="15" hidden="false" customHeight="false" outlineLevel="0" collapsed="false">
      <c r="A329" s="2" t="s">
        <v>419</v>
      </c>
      <c r="B329" s="2" t="s">
        <v>420</v>
      </c>
      <c r="C329" s="3" t="n">
        <v>54</v>
      </c>
      <c r="D329" s="2" t="s">
        <v>63</v>
      </c>
      <c r="E329" s="2" t="s">
        <v>64</v>
      </c>
      <c r="F329" s="3" t="n">
        <v>100</v>
      </c>
      <c r="G329" s="2" t="s">
        <v>73</v>
      </c>
      <c r="H329" s="4" t="n">
        <v>440</v>
      </c>
      <c r="I329" s="4" t="n">
        <v>440</v>
      </c>
      <c r="J329" s="2"/>
      <c r="K329" s="5" t="n">
        <v>46192</v>
      </c>
      <c r="L329" s="3"/>
      <c r="M329" s="3"/>
      <c r="N329" s="3" t="n">
        <v>2</v>
      </c>
      <c r="O329" s="3" t="n">
        <v>51</v>
      </c>
      <c r="P329" s="2"/>
      <c r="Q329" s="2" t="s">
        <v>68</v>
      </c>
      <c r="R329" s="2" t="s">
        <v>69</v>
      </c>
      <c r="S329" s="5" t="n">
        <v>46192</v>
      </c>
      <c r="T329" s="2" t="s">
        <v>51</v>
      </c>
      <c r="U329" s="5" t="n">
        <v>46192</v>
      </c>
      <c r="V329" s="2"/>
      <c r="W329" s="2" t="s">
        <v>70</v>
      </c>
      <c r="X329" s="2"/>
      <c r="Y329" s="2"/>
      <c r="Z329" s="2"/>
      <c r="AA329" s="2"/>
      <c r="AB329" s="3" t="n">
        <v>1442301</v>
      </c>
      <c r="AC329" s="2" t="s">
        <v>66</v>
      </c>
      <c r="AD329" s="2" t="s">
        <v>67</v>
      </c>
      <c r="AE329" s="2" t="s">
        <v>37</v>
      </c>
    </row>
    <row r="330" customFormat="false" ht="15" hidden="false" customHeight="false" outlineLevel="0" collapsed="false">
      <c r="A330" s="2" t="s">
        <v>421</v>
      </c>
      <c r="B330" s="2" t="s">
        <v>422</v>
      </c>
      <c r="C330" s="3" t="n">
        <v>25</v>
      </c>
      <c r="D330" s="2" t="s">
        <v>423</v>
      </c>
      <c r="E330" s="2" t="s">
        <v>424</v>
      </c>
      <c r="F330" s="3" t="n">
        <v>1</v>
      </c>
      <c r="G330" s="2" t="s">
        <v>423</v>
      </c>
      <c r="H330" s="4" t="n">
        <v>97000</v>
      </c>
      <c r="I330" s="4" t="n">
        <v>97000</v>
      </c>
      <c r="J330" s="5" t="n">
        <v>46185</v>
      </c>
      <c r="K330" s="2"/>
      <c r="L330" s="3" t="n">
        <v>25</v>
      </c>
      <c r="M330" s="3"/>
      <c r="N330" s="3"/>
      <c r="O330" s="3" t="n">
        <v>25</v>
      </c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3" t="n">
        <v>1442301</v>
      </c>
      <c r="AC330" s="2" t="s">
        <v>66</v>
      </c>
      <c r="AD330" s="2" t="s">
        <v>67</v>
      </c>
      <c r="AE330" s="2" t="s">
        <v>37</v>
      </c>
    </row>
    <row r="331" customFormat="false" ht="15" hidden="false" customHeight="false" outlineLevel="0" collapsed="false">
      <c r="A331" s="2" t="s">
        <v>421</v>
      </c>
      <c r="B331" s="2" t="s">
        <v>422</v>
      </c>
      <c r="C331" s="3" t="n">
        <v>25</v>
      </c>
      <c r="D331" s="2" t="s">
        <v>423</v>
      </c>
      <c r="E331" s="2" t="s">
        <v>424</v>
      </c>
      <c r="F331" s="3" t="n">
        <v>1</v>
      </c>
      <c r="G331" s="2" t="s">
        <v>423</v>
      </c>
      <c r="H331" s="4" t="n">
        <v>97000</v>
      </c>
      <c r="I331" s="4" t="n">
        <v>97000</v>
      </c>
      <c r="J331" s="2"/>
      <c r="K331" s="5" t="n">
        <v>46188</v>
      </c>
      <c r="L331" s="3"/>
      <c r="M331" s="3"/>
      <c r="N331" s="3" t="n">
        <v>2</v>
      </c>
      <c r="O331" s="3" t="n">
        <v>23</v>
      </c>
      <c r="P331" s="2" t="s">
        <v>123</v>
      </c>
      <c r="Q331" s="2" t="s">
        <v>124</v>
      </c>
      <c r="R331" s="2" t="s">
        <v>125</v>
      </c>
      <c r="S331" s="5" t="n">
        <v>46190</v>
      </c>
      <c r="T331" s="2" t="s">
        <v>51</v>
      </c>
      <c r="U331" s="5" t="n">
        <v>46192</v>
      </c>
      <c r="V331" s="2"/>
      <c r="W331" s="2"/>
      <c r="X331" s="2"/>
      <c r="Y331" s="2"/>
      <c r="Z331" s="2"/>
      <c r="AA331" s="2"/>
      <c r="AB331" s="3" t="n">
        <v>1442301</v>
      </c>
      <c r="AC331" s="2" t="s">
        <v>66</v>
      </c>
      <c r="AD331" s="2" t="s">
        <v>67</v>
      </c>
      <c r="AE331" s="2" t="s">
        <v>37</v>
      </c>
    </row>
    <row r="332" customFormat="false" ht="15" hidden="false" customHeight="false" outlineLevel="0" collapsed="false">
      <c r="A332" s="2" t="s">
        <v>421</v>
      </c>
      <c r="B332" s="2" t="s">
        <v>422</v>
      </c>
      <c r="C332" s="3" t="n">
        <v>25</v>
      </c>
      <c r="D332" s="2" t="s">
        <v>423</v>
      </c>
      <c r="E332" s="2" t="s">
        <v>424</v>
      </c>
      <c r="F332" s="3" t="n">
        <v>1</v>
      </c>
      <c r="G332" s="2" t="s">
        <v>423</v>
      </c>
      <c r="H332" s="4" t="n">
        <v>97000</v>
      </c>
      <c r="I332" s="4" t="n">
        <v>97000</v>
      </c>
      <c r="J332" s="2"/>
      <c r="K332" s="5" t="n">
        <v>46188</v>
      </c>
      <c r="L332" s="3"/>
      <c r="M332" s="3"/>
      <c r="N332" s="3" t="n">
        <v>2</v>
      </c>
      <c r="O332" s="3" t="n">
        <v>21</v>
      </c>
      <c r="P332" s="2" t="s">
        <v>108</v>
      </c>
      <c r="Q332" s="2" t="s">
        <v>109</v>
      </c>
      <c r="R332" s="2" t="s">
        <v>110</v>
      </c>
      <c r="S332" s="5" t="n">
        <v>46191</v>
      </c>
      <c r="T332" s="2" t="s">
        <v>55</v>
      </c>
      <c r="U332" s="5" t="n">
        <v>46192</v>
      </c>
      <c r="V332" s="2" t="s">
        <v>111</v>
      </c>
      <c r="W332" s="2" t="s">
        <v>112</v>
      </c>
      <c r="X332" s="2"/>
      <c r="Y332" s="2"/>
      <c r="Z332" s="2"/>
      <c r="AA332" s="2"/>
      <c r="AB332" s="3" t="n">
        <v>1442301</v>
      </c>
      <c r="AC332" s="2" t="s">
        <v>66</v>
      </c>
      <c r="AD332" s="2" t="s">
        <v>67</v>
      </c>
      <c r="AE332" s="2" t="s">
        <v>37</v>
      </c>
    </row>
    <row r="333" customFormat="false" ht="15" hidden="false" customHeight="false" outlineLevel="0" collapsed="false">
      <c r="A333" s="2" t="s">
        <v>421</v>
      </c>
      <c r="B333" s="2" t="s">
        <v>422</v>
      </c>
      <c r="C333" s="3" t="n">
        <v>25</v>
      </c>
      <c r="D333" s="2" t="s">
        <v>423</v>
      </c>
      <c r="E333" s="2" t="s">
        <v>424</v>
      </c>
      <c r="F333" s="3" t="n">
        <v>1</v>
      </c>
      <c r="G333" s="2" t="s">
        <v>423</v>
      </c>
      <c r="H333" s="4" t="n">
        <v>97000</v>
      </c>
      <c r="I333" s="4" t="n">
        <v>97000</v>
      </c>
      <c r="J333" s="2"/>
      <c r="K333" s="5" t="n">
        <v>46192</v>
      </c>
      <c r="L333" s="3"/>
      <c r="M333" s="3"/>
      <c r="N333" s="3" t="n">
        <v>1</v>
      </c>
      <c r="O333" s="3" t="n">
        <v>20</v>
      </c>
      <c r="P333" s="2"/>
      <c r="Q333" s="2" t="s">
        <v>68</v>
      </c>
      <c r="R333" s="2" t="s">
        <v>69</v>
      </c>
      <c r="S333" s="5" t="n">
        <v>46192</v>
      </c>
      <c r="T333" s="2" t="s">
        <v>51</v>
      </c>
      <c r="U333" s="5" t="n">
        <v>46192</v>
      </c>
      <c r="V333" s="2"/>
      <c r="W333" s="2" t="s">
        <v>70</v>
      </c>
      <c r="X333" s="2"/>
      <c r="Y333" s="2"/>
      <c r="Z333" s="2"/>
      <c r="AA333" s="2"/>
      <c r="AB333" s="3" t="n">
        <v>1442301</v>
      </c>
      <c r="AC333" s="2" t="s">
        <v>66</v>
      </c>
      <c r="AD333" s="2" t="s">
        <v>67</v>
      </c>
      <c r="AE333" s="2" t="s">
        <v>37</v>
      </c>
    </row>
    <row r="334" customFormat="false" ht="15" hidden="false" customHeight="false" outlineLevel="0" collapsed="false">
      <c r="A334" s="2" t="s">
        <v>421</v>
      </c>
      <c r="B334" s="2" t="s">
        <v>422</v>
      </c>
      <c r="C334" s="3" t="n">
        <v>25</v>
      </c>
      <c r="D334" s="2" t="s">
        <v>423</v>
      </c>
      <c r="E334" s="2" t="s">
        <v>424</v>
      </c>
      <c r="F334" s="3" t="n">
        <v>1</v>
      </c>
      <c r="G334" s="2" t="s">
        <v>423</v>
      </c>
      <c r="H334" s="4" t="n">
        <v>97000</v>
      </c>
      <c r="I334" s="4" t="n">
        <v>97000</v>
      </c>
      <c r="J334" s="2"/>
      <c r="K334" s="5" t="n">
        <v>46205</v>
      </c>
      <c r="L334" s="3"/>
      <c r="M334" s="3"/>
      <c r="N334" s="3" t="n">
        <v>3</v>
      </c>
      <c r="O334" s="3" t="n">
        <v>17</v>
      </c>
      <c r="P334" s="2" t="s">
        <v>85</v>
      </c>
      <c r="Q334" s="2" t="s">
        <v>86</v>
      </c>
      <c r="R334" s="2" t="s">
        <v>87</v>
      </c>
      <c r="S334" s="5" t="n">
        <v>46209</v>
      </c>
      <c r="T334" s="2" t="s">
        <v>51</v>
      </c>
      <c r="U334" s="5" t="n">
        <v>46212</v>
      </c>
      <c r="V334" s="2" t="s">
        <v>88</v>
      </c>
      <c r="W334" s="2" t="s">
        <v>89</v>
      </c>
      <c r="X334" s="2"/>
      <c r="Y334" s="2"/>
      <c r="Z334" s="2"/>
      <c r="AA334" s="2"/>
      <c r="AB334" s="3" t="n">
        <v>1442301</v>
      </c>
      <c r="AC334" s="2" t="s">
        <v>66</v>
      </c>
      <c r="AD334" s="2" t="s">
        <v>67</v>
      </c>
      <c r="AE334" s="2" t="s">
        <v>37</v>
      </c>
    </row>
    <row r="335" customFormat="false" ht="15" hidden="false" customHeight="false" outlineLevel="0" collapsed="false">
      <c r="A335" s="2" t="s">
        <v>425</v>
      </c>
      <c r="B335" s="2" t="s">
        <v>426</v>
      </c>
      <c r="C335" s="3" t="n">
        <v>69</v>
      </c>
      <c r="D335" s="2" t="s">
        <v>63</v>
      </c>
      <c r="E335" s="2" t="s">
        <v>64</v>
      </c>
      <c r="F335" s="3" t="n">
        <v>100</v>
      </c>
      <c r="G335" s="2" t="s">
        <v>73</v>
      </c>
      <c r="H335" s="4" t="n">
        <v>555</v>
      </c>
      <c r="I335" s="4" t="n">
        <v>555</v>
      </c>
      <c r="J335" s="5" t="n">
        <v>46185</v>
      </c>
      <c r="K335" s="2"/>
      <c r="L335" s="3" t="n">
        <v>69</v>
      </c>
      <c r="M335" s="3"/>
      <c r="N335" s="3"/>
      <c r="O335" s="3" t="n">
        <v>69</v>
      </c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3" t="n">
        <v>1442301</v>
      </c>
      <c r="AC335" s="2" t="s">
        <v>66</v>
      </c>
      <c r="AD335" s="2" t="s">
        <v>67</v>
      </c>
      <c r="AE335" s="2" t="s">
        <v>37</v>
      </c>
    </row>
    <row r="336" customFormat="false" ht="15" hidden="false" customHeight="false" outlineLevel="0" collapsed="false">
      <c r="A336" s="2" t="s">
        <v>425</v>
      </c>
      <c r="B336" s="2" t="s">
        <v>426</v>
      </c>
      <c r="C336" s="3" t="n">
        <v>69</v>
      </c>
      <c r="D336" s="2" t="s">
        <v>63</v>
      </c>
      <c r="E336" s="2" t="s">
        <v>64</v>
      </c>
      <c r="F336" s="3" t="n">
        <v>100</v>
      </c>
      <c r="G336" s="2" t="s">
        <v>73</v>
      </c>
      <c r="H336" s="4" t="n">
        <v>555</v>
      </c>
      <c r="I336" s="4" t="n">
        <v>555</v>
      </c>
      <c r="J336" s="2"/>
      <c r="K336" s="5" t="n">
        <v>46188</v>
      </c>
      <c r="L336" s="3"/>
      <c r="M336" s="3"/>
      <c r="N336" s="3" t="n">
        <v>5</v>
      </c>
      <c r="O336" s="3" t="n">
        <v>64</v>
      </c>
      <c r="P336" s="2" t="s">
        <v>79</v>
      </c>
      <c r="Q336" s="2" t="s">
        <v>80</v>
      </c>
      <c r="R336" s="2" t="s">
        <v>81</v>
      </c>
      <c r="S336" s="5" t="n">
        <v>46191</v>
      </c>
      <c r="T336" s="2" t="s">
        <v>55</v>
      </c>
      <c r="U336" s="5" t="n">
        <v>46191</v>
      </c>
      <c r="V336" s="2"/>
      <c r="W336" s="2"/>
      <c r="X336" s="2"/>
      <c r="Y336" s="2"/>
      <c r="Z336" s="2"/>
      <c r="AA336" s="2"/>
      <c r="AB336" s="3" t="n">
        <v>1442301</v>
      </c>
      <c r="AC336" s="2" t="s">
        <v>66</v>
      </c>
      <c r="AD336" s="2" t="s">
        <v>67</v>
      </c>
      <c r="AE336" s="2" t="s">
        <v>37</v>
      </c>
    </row>
    <row r="337" customFormat="false" ht="15" hidden="false" customHeight="false" outlineLevel="0" collapsed="false">
      <c r="A337" s="2" t="s">
        <v>425</v>
      </c>
      <c r="B337" s="2" t="s">
        <v>426</v>
      </c>
      <c r="C337" s="3" t="n">
        <v>69</v>
      </c>
      <c r="D337" s="2" t="s">
        <v>63</v>
      </c>
      <c r="E337" s="2" t="s">
        <v>64</v>
      </c>
      <c r="F337" s="3" t="n">
        <v>100</v>
      </c>
      <c r="G337" s="2" t="s">
        <v>73</v>
      </c>
      <c r="H337" s="4" t="n">
        <v>555</v>
      </c>
      <c r="I337" s="4" t="n">
        <v>555</v>
      </c>
      <c r="J337" s="2"/>
      <c r="K337" s="5" t="n">
        <v>46192</v>
      </c>
      <c r="L337" s="3"/>
      <c r="M337" s="3"/>
      <c r="N337" s="3" t="n">
        <v>1</v>
      </c>
      <c r="O337" s="3" t="n">
        <v>63</v>
      </c>
      <c r="P337" s="2"/>
      <c r="Q337" s="2" t="s">
        <v>68</v>
      </c>
      <c r="R337" s="2" t="s">
        <v>69</v>
      </c>
      <c r="S337" s="5" t="n">
        <v>46192</v>
      </c>
      <c r="T337" s="2" t="s">
        <v>51</v>
      </c>
      <c r="U337" s="5" t="n">
        <v>46192</v>
      </c>
      <c r="V337" s="2"/>
      <c r="W337" s="2" t="s">
        <v>70</v>
      </c>
      <c r="X337" s="2"/>
      <c r="Y337" s="2"/>
      <c r="Z337" s="2"/>
      <c r="AA337" s="2"/>
      <c r="AB337" s="3" t="n">
        <v>1442301</v>
      </c>
      <c r="AC337" s="2" t="s">
        <v>66</v>
      </c>
      <c r="AD337" s="2" t="s">
        <v>67</v>
      </c>
      <c r="AE337" s="2" t="s">
        <v>37</v>
      </c>
    </row>
    <row r="338" customFormat="false" ht="15" hidden="false" customHeight="false" outlineLevel="0" collapsed="false">
      <c r="A338" s="2" t="s">
        <v>427</v>
      </c>
      <c r="B338" s="2" t="s">
        <v>428</v>
      </c>
      <c r="C338" s="3" t="n">
        <v>28</v>
      </c>
      <c r="D338" s="2" t="s">
        <v>63</v>
      </c>
      <c r="E338" s="2" t="s">
        <v>64</v>
      </c>
      <c r="F338" s="3" t="n">
        <v>100</v>
      </c>
      <c r="G338" s="2" t="s">
        <v>73</v>
      </c>
      <c r="H338" s="4" t="n">
        <v>610.5</v>
      </c>
      <c r="I338" s="4" t="n">
        <v>610.5</v>
      </c>
      <c r="J338" s="5" t="n">
        <v>46185</v>
      </c>
      <c r="K338" s="2"/>
      <c r="L338" s="3" t="n">
        <v>28</v>
      </c>
      <c r="M338" s="3"/>
      <c r="N338" s="3"/>
      <c r="O338" s="3" t="n">
        <v>28</v>
      </c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3" t="n">
        <v>1442301</v>
      </c>
      <c r="AC338" s="2" t="s">
        <v>66</v>
      </c>
      <c r="AD338" s="2" t="s">
        <v>67</v>
      </c>
      <c r="AE338" s="2" t="s">
        <v>37</v>
      </c>
    </row>
    <row r="339" customFormat="false" ht="15" hidden="false" customHeight="false" outlineLevel="0" collapsed="false">
      <c r="A339" s="2" t="s">
        <v>427</v>
      </c>
      <c r="B339" s="2" t="s">
        <v>428</v>
      </c>
      <c r="C339" s="3" t="n">
        <v>28</v>
      </c>
      <c r="D339" s="2" t="s">
        <v>63</v>
      </c>
      <c r="E339" s="2" t="s">
        <v>64</v>
      </c>
      <c r="F339" s="3" t="n">
        <v>100</v>
      </c>
      <c r="G339" s="2" t="s">
        <v>73</v>
      </c>
      <c r="H339" s="4" t="n">
        <v>610.5</v>
      </c>
      <c r="I339" s="4" t="n">
        <v>610.5</v>
      </c>
      <c r="J339" s="2"/>
      <c r="K339" s="5" t="n">
        <v>46188</v>
      </c>
      <c r="L339" s="3"/>
      <c r="M339" s="3"/>
      <c r="N339" s="3" t="n">
        <v>3</v>
      </c>
      <c r="O339" s="3" t="n">
        <v>25</v>
      </c>
      <c r="P339" s="2" t="s">
        <v>79</v>
      </c>
      <c r="Q339" s="2" t="s">
        <v>80</v>
      </c>
      <c r="R339" s="2" t="s">
        <v>81</v>
      </c>
      <c r="S339" s="5" t="n">
        <v>46191</v>
      </c>
      <c r="T339" s="2" t="s">
        <v>55</v>
      </c>
      <c r="U339" s="5" t="n">
        <v>46191</v>
      </c>
      <c r="V339" s="2"/>
      <c r="W339" s="2"/>
      <c r="X339" s="2"/>
      <c r="Y339" s="2"/>
      <c r="Z339" s="2"/>
      <c r="AA339" s="2"/>
      <c r="AB339" s="3" t="n">
        <v>1442301</v>
      </c>
      <c r="AC339" s="2" t="s">
        <v>66</v>
      </c>
      <c r="AD339" s="2" t="s">
        <v>67</v>
      </c>
      <c r="AE339" s="2" t="s">
        <v>37</v>
      </c>
    </row>
    <row r="340" customFormat="false" ht="15" hidden="false" customHeight="false" outlineLevel="0" collapsed="false">
      <c r="A340" s="2" t="s">
        <v>427</v>
      </c>
      <c r="B340" s="2" t="s">
        <v>428</v>
      </c>
      <c r="C340" s="3" t="n">
        <v>28</v>
      </c>
      <c r="D340" s="2" t="s">
        <v>63</v>
      </c>
      <c r="E340" s="2" t="s">
        <v>64</v>
      </c>
      <c r="F340" s="3" t="n">
        <v>100</v>
      </c>
      <c r="G340" s="2" t="s">
        <v>73</v>
      </c>
      <c r="H340" s="4" t="n">
        <v>610.5</v>
      </c>
      <c r="I340" s="4" t="n">
        <v>610.5</v>
      </c>
      <c r="J340" s="2"/>
      <c r="K340" s="5" t="n">
        <v>46188</v>
      </c>
      <c r="L340" s="3"/>
      <c r="M340" s="3"/>
      <c r="N340" s="3" t="n">
        <v>8</v>
      </c>
      <c r="O340" s="3" t="n">
        <v>17</v>
      </c>
      <c r="P340" s="2" t="s">
        <v>108</v>
      </c>
      <c r="Q340" s="2" t="s">
        <v>109</v>
      </c>
      <c r="R340" s="2" t="s">
        <v>110</v>
      </c>
      <c r="S340" s="5" t="n">
        <v>46191</v>
      </c>
      <c r="T340" s="2" t="s">
        <v>55</v>
      </c>
      <c r="U340" s="5" t="n">
        <v>46192</v>
      </c>
      <c r="V340" s="2" t="s">
        <v>111</v>
      </c>
      <c r="W340" s="2" t="s">
        <v>112</v>
      </c>
      <c r="X340" s="2"/>
      <c r="Y340" s="2"/>
      <c r="Z340" s="2"/>
      <c r="AA340" s="2"/>
      <c r="AB340" s="3" t="n">
        <v>1442301</v>
      </c>
      <c r="AC340" s="2" t="s">
        <v>66</v>
      </c>
      <c r="AD340" s="2" t="s">
        <v>67</v>
      </c>
      <c r="AE340" s="2" t="s">
        <v>37</v>
      </c>
    </row>
    <row r="341" customFormat="false" ht="15" hidden="false" customHeight="false" outlineLevel="0" collapsed="false">
      <c r="A341" s="2" t="s">
        <v>427</v>
      </c>
      <c r="B341" s="2" t="s">
        <v>428</v>
      </c>
      <c r="C341" s="3" t="n">
        <v>28</v>
      </c>
      <c r="D341" s="2" t="s">
        <v>63</v>
      </c>
      <c r="E341" s="2" t="s">
        <v>64</v>
      </c>
      <c r="F341" s="3" t="n">
        <v>100</v>
      </c>
      <c r="G341" s="2" t="s">
        <v>73</v>
      </c>
      <c r="H341" s="4" t="n">
        <v>610.5</v>
      </c>
      <c r="I341" s="4" t="n">
        <v>610.5</v>
      </c>
      <c r="J341" s="2"/>
      <c r="K341" s="5" t="n">
        <v>46192</v>
      </c>
      <c r="L341" s="3"/>
      <c r="M341" s="3"/>
      <c r="N341" s="3" t="n">
        <v>1</v>
      </c>
      <c r="O341" s="3" t="n">
        <v>16</v>
      </c>
      <c r="P341" s="2"/>
      <c r="Q341" s="2" t="s">
        <v>68</v>
      </c>
      <c r="R341" s="2" t="s">
        <v>69</v>
      </c>
      <c r="S341" s="5" t="n">
        <v>46192</v>
      </c>
      <c r="T341" s="2" t="s">
        <v>51</v>
      </c>
      <c r="U341" s="5" t="n">
        <v>46192</v>
      </c>
      <c r="V341" s="2"/>
      <c r="W341" s="2" t="s">
        <v>70</v>
      </c>
      <c r="X341" s="2"/>
      <c r="Y341" s="2"/>
      <c r="Z341" s="2"/>
      <c r="AA341" s="2"/>
      <c r="AB341" s="3" t="n">
        <v>1442301</v>
      </c>
      <c r="AC341" s="2" t="s">
        <v>66</v>
      </c>
      <c r="AD341" s="2" t="s">
        <v>67</v>
      </c>
      <c r="AE341" s="2" t="s">
        <v>37</v>
      </c>
    </row>
    <row r="342" customFormat="false" ht="15" hidden="false" customHeight="false" outlineLevel="0" collapsed="false">
      <c r="A342" s="2" t="s">
        <v>427</v>
      </c>
      <c r="B342" s="2" t="s">
        <v>428</v>
      </c>
      <c r="C342" s="3" t="n">
        <v>28</v>
      </c>
      <c r="D342" s="2" t="s">
        <v>63</v>
      </c>
      <c r="E342" s="2" t="s">
        <v>64</v>
      </c>
      <c r="F342" s="3" t="n">
        <v>100</v>
      </c>
      <c r="G342" s="2" t="s">
        <v>73</v>
      </c>
      <c r="H342" s="4" t="n">
        <v>610.5</v>
      </c>
      <c r="I342" s="4" t="n">
        <v>610.5</v>
      </c>
      <c r="J342" s="2"/>
      <c r="K342" s="5" t="n">
        <v>46205</v>
      </c>
      <c r="L342" s="3"/>
      <c r="M342" s="3"/>
      <c r="N342" s="3" t="n">
        <v>6</v>
      </c>
      <c r="O342" s="3" t="n">
        <v>10</v>
      </c>
      <c r="P342" s="2" t="s">
        <v>320</v>
      </c>
      <c r="Q342" s="2" t="s">
        <v>321</v>
      </c>
      <c r="R342" s="2" t="s">
        <v>322</v>
      </c>
      <c r="S342" s="5" t="n">
        <v>46205</v>
      </c>
      <c r="T342" s="2" t="s">
        <v>51</v>
      </c>
      <c r="U342" s="5" t="n">
        <v>46205</v>
      </c>
      <c r="V342" s="2" t="s">
        <v>323</v>
      </c>
      <c r="W342" s="2"/>
      <c r="X342" s="2"/>
      <c r="Y342" s="2"/>
      <c r="Z342" s="2"/>
      <c r="AA342" s="2"/>
      <c r="AB342" s="3" t="n">
        <v>1442301</v>
      </c>
      <c r="AC342" s="2" t="s">
        <v>66</v>
      </c>
      <c r="AD342" s="2" t="s">
        <v>67</v>
      </c>
      <c r="AE342" s="2" t="s">
        <v>37</v>
      </c>
    </row>
    <row r="343" customFormat="false" ht="15" hidden="false" customHeight="false" outlineLevel="0" collapsed="false">
      <c r="A343" s="2" t="s">
        <v>429</v>
      </c>
      <c r="B343" s="2" t="s">
        <v>430</v>
      </c>
      <c r="C343" s="3" t="n">
        <v>29</v>
      </c>
      <c r="D343" s="2" t="s">
        <v>63</v>
      </c>
      <c r="E343" s="2" t="s">
        <v>64</v>
      </c>
      <c r="F343" s="3" t="n">
        <v>100</v>
      </c>
      <c r="G343" s="2" t="s">
        <v>73</v>
      </c>
      <c r="H343" s="4" t="n">
        <v>203.5</v>
      </c>
      <c r="I343" s="4" t="n">
        <v>203.5</v>
      </c>
      <c r="J343" s="5" t="n">
        <v>46185</v>
      </c>
      <c r="K343" s="2"/>
      <c r="L343" s="3" t="n">
        <v>29</v>
      </c>
      <c r="M343" s="3"/>
      <c r="N343" s="3"/>
      <c r="O343" s="3" t="n">
        <v>29</v>
      </c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3" t="n">
        <v>1442301</v>
      </c>
      <c r="AC343" s="2" t="s">
        <v>66</v>
      </c>
      <c r="AD343" s="2" t="s">
        <v>67</v>
      </c>
      <c r="AE343" s="2" t="s">
        <v>37</v>
      </c>
    </row>
    <row r="344" customFormat="false" ht="15" hidden="false" customHeight="false" outlineLevel="0" collapsed="false">
      <c r="A344" s="2" t="s">
        <v>429</v>
      </c>
      <c r="B344" s="2" t="s">
        <v>430</v>
      </c>
      <c r="C344" s="3" t="n">
        <v>29</v>
      </c>
      <c r="D344" s="2" t="s">
        <v>63</v>
      </c>
      <c r="E344" s="2" t="s">
        <v>64</v>
      </c>
      <c r="F344" s="3" t="n">
        <v>100</v>
      </c>
      <c r="G344" s="2" t="s">
        <v>73</v>
      </c>
      <c r="H344" s="4" t="n">
        <v>203.5</v>
      </c>
      <c r="I344" s="4" t="n">
        <v>203.5</v>
      </c>
      <c r="J344" s="2"/>
      <c r="K344" s="5" t="n">
        <v>46192</v>
      </c>
      <c r="L344" s="3"/>
      <c r="M344" s="3"/>
      <c r="N344" s="3" t="n">
        <v>1</v>
      </c>
      <c r="O344" s="3" t="n">
        <v>28</v>
      </c>
      <c r="P344" s="2"/>
      <c r="Q344" s="2" t="s">
        <v>68</v>
      </c>
      <c r="R344" s="2" t="s">
        <v>69</v>
      </c>
      <c r="S344" s="5" t="n">
        <v>46192</v>
      </c>
      <c r="T344" s="2" t="s">
        <v>51</v>
      </c>
      <c r="U344" s="5" t="n">
        <v>46192</v>
      </c>
      <c r="V344" s="2"/>
      <c r="W344" s="2" t="s">
        <v>70</v>
      </c>
      <c r="X344" s="2"/>
      <c r="Y344" s="2"/>
      <c r="Z344" s="2"/>
      <c r="AA344" s="2"/>
      <c r="AB344" s="3" t="n">
        <v>1442301</v>
      </c>
      <c r="AC344" s="2" t="s">
        <v>66</v>
      </c>
      <c r="AD344" s="2" t="s">
        <v>67</v>
      </c>
      <c r="AE344" s="2" t="s">
        <v>37</v>
      </c>
    </row>
    <row r="345" customFormat="false" ht="15" hidden="false" customHeight="false" outlineLevel="0" collapsed="false">
      <c r="A345" s="2" t="s">
        <v>431</v>
      </c>
      <c r="B345" s="2" t="s">
        <v>432</v>
      </c>
      <c r="C345" s="3" t="n">
        <v>28</v>
      </c>
      <c r="D345" s="2" t="s">
        <v>63</v>
      </c>
      <c r="E345" s="2" t="s">
        <v>64</v>
      </c>
      <c r="F345" s="3" t="n">
        <v>100</v>
      </c>
      <c r="G345" s="2" t="s">
        <v>73</v>
      </c>
      <c r="H345" s="4" t="n">
        <v>294.15</v>
      </c>
      <c r="I345" s="4" t="n">
        <v>294.15</v>
      </c>
      <c r="J345" s="5" t="n">
        <v>46185</v>
      </c>
      <c r="K345" s="2"/>
      <c r="L345" s="3" t="n">
        <v>28</v>
      </c>
      <c r="M345" s="3"/>
      <c r="N345" s="3"/>
      <c r="O345" s="3" t="n">
        <v>28</v>
      </c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3" t="n">
        <v>1442301</v>
      </c>
      <c r="AC345" s="2" t="s">
        <v>66</v>
      </c>
      <c r="AD345" s="2" t="s">
        <v>67</v>
      </c>
      <c r="AE345" s="2" t="s">
        <v>37</v>
      </c>
    </row>
    <row r="346" customFormat="false" ht="15" hidden="false" customHeight="false" outlineLevel="0" collapsed="false">
      <c r="A346" s="2" t="s">
        <v>431</v>
      </c>
      <c r="B346" s="2" t="s">
        <v>432</v>
      </c>
      <c r="C346" s="3" t="n">
        <v>28</v>
      </c>
      <c r="D346" s="2" t="s">
        <v>63</v>
      </c>
      <c r="E346" s="2" t="s">
        <v>64</v>
      </c>
      <c r="F346" s="3" t="n">
        <v>100</v>
      </c>
      <c r="G346" s="2" t="s">
        <v>73</v>
      </c>
      <c r="H346" s="4" t="n">
        <v>294.15</v>
      </c>
      <c r="I346" s="4" t="n">
        <v>294.15</v>
      </c>
      <c r="J346" s="2"/>
      <c r="K346" s="5" t="n">
        <v>46192</v>
      </c>
      <c r="L346" s="3"/>
      <c r="M346" s="3"/>
      <c r="N346" s="3" t="n">
        <v>1</v>
      </c>
      <c r="O346" s="3" t="n">
        <v>27</v>
      </c>
      <c r="P346" s="2"/>
      <c r="Q346" s="2" t="s">
        <v>68</v>
      </c>
      <c r="R346" s="2" t="s">
        <v>69</v>
      </c>
      <c r="S346" s="5" t="n">
        <v>46192</v>
      </c>
      <c r="T346" s="2" t="s">
        <v>51</v>
      </c>
      <c r="U346" s="5" t="n">
        <v>46192</v>
      </c>
      <c r="V346" s="2"/>
      <c r="W346" s="2" t="s">
        <v>70</v>
      </c>
      <c r="X346" s="2"/>
      <c r="Y346" s="2"/>
      <c r="Z346" s="2"/>
      <c r="AA346" s="2"/>
      <c r="AB346" s="3" t="n">
        <v>1442301</v>
      </c>
      <c r="AC346" s="2" t="s">
        <v>66</v>
      </c>
      <c r="AD346" s="2" t="s">
        <v>67</v>
      </c>
      <c r="AE346" s="2" t="s">
        <v>37</v>
      </c>
    </row>
    <row r="347" customFormat="false" ht="15" hidden="false" customHeight="false" outlineLevel="0" collapsed="false">
      <c r="A347" s="2" t="s">
        <v>433</v>
      </c>
      <c r="B347" s="2" t="s">
        <v>434</v>
      </c>
      <c r="C347" s="3" t="n">
        <v>120</v>
      </c>
      <c r="D347" s="2" t="s">
        <v>266</v>
      </c>
      <c r="E347" s="2" t="s">
        <v>267</v>
      </c>
      <c r="F347" s="3" t="n">
        <v>100</v>
      </c>
      <c r="G347" s="2" t="s">
        <v>73</v>
      </c>
      <c r="H347" s="4" t="n">
        <v>244.2</v>
      </c>
      <c r="I347" s="4"/>
      <c r="J347" s="5" t="n">
        <v>46191</v>
      </c>
      <c r="K347" s="2"/>
      <c r="L347" s="3"/>
      <c r="M347" s="3" t="n">
        <v>120</v>
      </c>
      <c r="N347" s="3"/>
      <c r="O347" s="3" t="n">
        <v>120</v>
      </c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3" t="n">
        <v>1442301</v>
      </c>
      <c r="AC347" s="2" t="s">
        <v>66</v>
      </c>
      <c r="AD347" s="2" t="s">
        <v>67</v>
      </c>
      <c r="AE347" s="2" t="s">
        <v>37</v>
      </c>
    </row>
    <row r="348" customFormat="false" ht="15" hidden="false" customHeight="false" outlineLevel="0" collapsed="false">
      <c r="A348" s="2" t="s">
        <v>433</v>
      </c>
      <c r="B348" s="2" t="s">
        <v>434</v>
      </c>
      <c r="C348" s="3" t="n">
        <v>120</v>
      </c>
      <c r="D348" s="2" t="s">
        <v>266</v>
      </c>
      <c r="E348" s="2" t="s">
        <v>267</v>
      </c>
      <c r="F348" s="3" t="n">
        <v>100</v>
      </c>
      <c r="G348" s="2" t="s">
        <v>73</v>
      </c>
      <c r="H348" s="4" t="n">
        <v>244.2</v>
      </c>
      <c r="I348" s="4"/>
      <c r="J348" s="2"/>
      <c r="K348" s="5" t="n">
        <v>46192</v>
      </c>
      <c r="L348" s="3"/>
      <c r="M348" s="3"/>
      <c r="N348" s="3" t="n">
        <v>1</v>
      </c>
      <c r="O348" s="3" t="n">
        <v>119</v>
      </c>
      <c r="P348" s="2"/>
      <c r="Q348" s="2" t="s">
        <v>435</v>
      </c>
      <c r="R348" s="2" t="s">
        <v>436</v>
      </c>
      <c r="S348" s="5" t="n">
        <v>46192</v>
      </c>
      <c r="T348" s="2" t="s">
        <v>51</v>
      </c>
      <c r="U348" s="5" t="n">
        <v>46192</v>
      </c>
      <c r="V348" s="2"/>
      <c r="W348" s="2"/>
      <c r="X348" s="2"/>
      <c r="Y348" s="2"/>
      <c r="Z348" s="2"/>
      <c r="AA348" s="2"/>
      <c r="AB348" s="3" t="n">
        <v>1442301</v>
      </c>
      <c r="AC348" s="2" t="s">
        <v>66</v>
      </c>
      <c r="AD348" s="2" t="s">
        <v>67</v>
      </c>
      <c r="AE348" s="2" t="s">
        <v>37</v>
      </c>
    </row>
    <row r="349" customFormat="false" ht="15" hidden="false" customHeight="false" outlineLevel="0" collapsed="false">
      <c r="A349" s="2" t="s">
        <v>433</v>
      </c>
      <c r="B349" s="2" t="s">
        <v>434</v>
      </c>
      <c r="C349" s="3" t="n">
        <v>120</v>
      </c>
      <c r="D349" s="2" t="s">
        <v>266</v>
      </c>
      <c r="E349" s="2" t="s">
        <v>267</v>
      </c>
      <c r="F349" s="3" t="n">
        <v>100</v>
      </c>
      <c r="G349" s="2" t="s">
        <v>73</v>
      </c>
      <c r="H349" s="4" t="n">
        <v>244.2</v>
      </c>
      <c r="I349" s="4"/>
      <c r="J349" s="5" t="n">
        <v>46210</v>
      </c>
      <c r="K349" s="2"/>
      <c r="L349" s="3"/>
      <c r="M349" s="3" t="n">
        <v>34</v>
      </c>
      <c r="N349" s="3"/>
      <c r="O349" s="3" t="n">
        <v>153</v>
      </c>
      <c r="P349" s="2"/>
      <c r="Q349" s="2" t="s">
        <v>435</v>
      </c>
      <c r="R349" s="2" t="s">
        <v>437</v>
      </c>
      <c r="S349" s="2"/>
      <c r="T349" s="2" t="s">
        <v>51</v>
      </c>
      <c r="U349" s="5" t="n">
        <v>46210</v>
      </c>
      <c r="V349" s="2"/>
      <c r="W349" s="2"/>
      <c r="X349" s="2"/>
      <c r="Y349" s="2"/>
      <c r="Z349" s="2"/>
      <c r="AA349" s="2"/>
      <c r="AB349" s="3" t="n">
        <v>1442301</v>
      </c>
      <c r="AC349" s="2" t="s">
        <v>66</v>
      </c>
      <c r="AD349" s="2" t="s">
        <v>67</v>
      </c>
      <c r="AE349" s="2" t="s">
        <v>37</v>
      </c>
    </row>
    <row r="350" customFormat="false" ht="15" hidden="false" customHeight="false" outlineLevel="0" collapsed="false">
      <c r="A350" s="2" t="s">
        <v>433</v>
      </c>
      <c r="B350" s="2" t="s">
        <v>434</v>
      </c>
      <c r="C350" s="3" t="n">
        <v>120</v>
      </c>
      <c r="D350" s="2" t="s">
        <v>266</v>
      </c>
      <c r="E350" s="2" t="s">
        <v>267</v>
      </c>
      <c r="F350" s="3" t="n">
        <v>100</v>
      </c>
      <c r="G350" s="2" t="s">
        <v>73</v>
      </c>
      <c r="H350" s="4" t="n">
        <v>244.2</v>
      </c>
      <c r="I350" s="4"/>
      <c r="J350" s="2"/>
      <c r="K350" s="5" t="n">
        <v>46213</v>
      </c>
      <c r="L350" s="3"/>
      <c r="M350" s="3"/>
      <c r="N350" s="3" t="n">
        <v>20</v>
      </c>
      <c r="O350" s="3" t="n">
        <v>133</v>
      </c>
      <c r="P350" s="2" t="s">
        <v>162</v>
      </c>
      <c r="Q350" s="2" t="s">
        <v>163</v>
      </c>
      <c r="R350" s="2" t="s">
        <v>164</v>
      </c>
      <c r="S350" s="5" t="n">
        <v>46213</v>
      </c>
      <c r="T350" s="2" t="s">
        <v>51</v>
      </c>
      <c r="U350" s="5" t="n">
        <v>46213</v>
      </c>
      <c r="V350" s="2" t="s">
        <v>165</v>
      </c>
      <c r="W350" s="2" t="s">
        <v>166</v>
      </c>
      <c r="X350" s="2"/>
      <c r="Y350" s="2"/>
      <c r="Z350" s="2"/>
      <c r="AA350" s="2"/>
      <c r="AB350" s="3" t="n">
        <v>1442301</v>
      </c>
      <c r="AC350" s="2" t="s">
        <v>66</v>
      </c>
      <c r="AD350" s="2" t="s">
        <v>67</v>
      </c>
      <c r="AE350" s="2" t="s">
        <v>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3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9"/>
    <col collapsed="false" customWidth="true" hidden="false" outlineLevel="0" max="3" min="3" style="0" width="12"/>
    <col collapsed="false" customWidth="true" hidden="false" outlineLevel="0" max="4" min="4" style="0" width="34"/>
    <col collapsed="false" customWidth="true" hidden="false" outlineLevel="0" max="5" min="5" style="0" width="10"/>
    <col collapsed="false" customWidth="true" hidden="false" outlineLevel="0" max="7" min="6" style="0" width="9"/>
    <col collapsed="false" customWidth="true" hidden="false" outlineLevel="0" max="9" min="8" style="0" width="14"/>
    <col collapsed="false" customWidth="true" hidden="false" outlineLevel="0" max="10" min="10" style="0" width="16"/>
  </cols>
  <sheetData>
    <row r="1" customFormat="false" ht="35.05" hidden="false" customHeight="false" outlineLevel="0" collapsed="false">
      <c r="A1" s="1" t="s">
        <v>438</v>
      </c>
      <c r="B1" s="1" t="s">
        <v>439</v>
      </c>
      <c r="C1" s="1" t="s">
        <v>0</v>
      </c>
      <c r="D1" s="1" t="s">
        <v>1</v>
      </c>
      <c r="E1" s="1" t="s">
        <v>440</v>
      </c>
      <c r="F1" s="1" t="s">
        <v>441</v>
      </c>
      <c r="G1" s="1" t="s">
        <v>442</v>
      </c>
      <c r="H1" s="1" t="s">
        <v>443</v>
      </c>
      <c r="I1" s="1" t="s">
        <v>444</v>
      </c>
      <c r="J1" s="1" t="s">
        <v>445</v>
      </c>
    </row>
    <row r="2" customFormat="false" ht="15" hidden="false" customHeight="false" outlineLevel="0" collapsed="false">
      <c r="A2" s="2" t="s">
        <v>35</v>
      </c>
      <c r="B2" s="9" t="n">
        <v>1442305</v>
      </c>
      <c r="C2" s="2" t="s">
        <v>31</v>
      </c>
      <c r="D2" s="2" t="s">
        <v>446</v>
      </c>
      <c r="E2" s="2" t="s">
        <v>447</v>
      </c>
      <c r="F2" s="2" t="n">
        <v>1</v>
      </c>
      <c r="G2" s="2" t="n">
        <v>1</v>
      </c>
      <c r="H2" s="3" t="n">
        <v>404</v>
      </c>
      <c r="I2" s="4" t="n">
        <v>23000</v>
      </c>
      <c r="J2" s="4" t="n">
        <f aca="false">H2*I2</f>
        <v>9292000</v>
      </c>
    </row>
    <row r="3" customFormat="false" ht="15" hidden="false" customHeight="false" outlineLevel="0" collapsed="false">
      <c r="A3" s="2" t="s">
        <v>35</v>
      </c>
      <c r="B3" s="9" t="n">
        <v>1442305</v>
      </c>
      <c r="C3" s="2" t="s">
        <v>39</v>
      </c>
      <c r="D3" s="2" t="s">
        <v>446</v>
      </c>
      <c r="E3" s="2" t="s">
        <v>447</v>
      </c>
      <c r="F3" s="2" t="n">
        <v>1</v>
      </c>
      <c r="G3" s="2" t="n">
        <v>1</v>
      </c>
      <c r="H3" s="3" t="n">
        <v>1</v>
      </c>
      <c r="I3" s="4" t="n">
        <v>23000</v>
      </c>
      <c r="J3" s="4" t="n">
        <f aca="false">H3*I3</f>
        <v>23000</v>
      </c>
    </row>
    <row r="4" customFormat="false" ht="15" hidden="false" customHeight="false" outlineLevel="0" collapsed="false">
      <c r="A4" s="2" t="s">
        <v>35</v>
      </c>
      <c r="B4" s="9" t="n">
        <v>1442305</v>
      </c>
      <c r="C4" s="2" t="s">
        <v>41</v>
      </c>
      <c r="D4" s="2" t="s">
        <v>446</v>
      </c>
      <c r="E4" s="2" t="s">
        <v>447</v>
      </c>
      <c r="F4" s="2" t="n">
        <v>1</v>
      </c>
      <c r="G4" s="2" t="n">
        <v>1</v>
      </c>
      <c r="H4" s="3" t="n">
        <v>4</v>
      </c>
      <c r="I4" s="4" t="n">
        <v>23000</v>
      </c>
      <c r="J4" s="4" t="n">
        <f aca="false">H4*I4</f>
        <v>92000</v>
      </c>
    </row>
    <row r="5" customFormat="false" ht="15" hidden="false" customHeight="false" outlineLevel="0" collapsed="false">
      <c r="A5" s="2" t="s">
        <v>35</v>
      </c>
      <c r="B5" s="9" t="n">
        <v>1442305</v>
      </c>
      <c r="C5" s="2" t="s">
        <v>43</v>
      </c>
      <c r="D5" s="2" t="s">
        <v>446</v>
      </c>
      <c r="E5" s="2" t="s">
        <v>447</v>
      </c>
      <c r="F5" s="2" t="n">
        <v>1</v>
      </c>
      <c r="G5" s="2" t="n">
        <v>1</v>
      </c>
      <c r="H5" s="3" t="n">
        <v>13</v>
      </c>
      <c r="I5" s="4" t="n">
        <v>23000</v>
      </c>
      <c r="J5" s="4" t="n">
        <f aca="false">H5*I5</f>
        <v>299000</v>
      </c>
    </row>
    <row r="6" customFormat="false" ht="15" hidden="false" customHeight="false" outlineLevel="0" collapsed="false">
      <c r="A6" s="2" t="s">
        <v>35</v>
      </c>
      <c r="B6" s="9" t="n">
        <v>1442305</v>
      </c>
      <c r="C6" s="2" t="s">
        <v>45</v>
      </c>
      <c r="D6" s="2" t="s">
        <v>448</v>
      </c>
      <c r="E6" s="2" t="s">
        <v>447</v>
      </c>
      <c r="F6" s="2" t="n">
        <v>1</v>
      </c>
      <c r="G6" s="2" t="n">
        <v>1</v>
      </c>
      <c r="H6" s="3" t="n">
        <v>6</v>
      </c>
      <c r="I6" s="4" t="n">
        <v>35000</v>
      </c>
      <c r="J6" s="4" t="n">
        <f aca="false">H6*I6</f>
        <v>210000</v>
      </c>
    </row>
    <row r="7" customFormat="false" ht="15" hidden="false" customHeight="false" outlineLevel="0" collapsed="false">
      <c r="A7" s="2" t="s">
        <v>35</v>
      </c>
      <c r="B7" s="9" t="n">
        <v>1442305</v>
      </c>
      <c r="C7" s="2" t="s">
        <v>47</v>
      </c>
      <c r="D7" s="2" t="s">
        <v>448</v>
      </c>
      <c r="E7" s="2" t="s">
        <v>447</v>
      </c>
      <c r="F7" s="2" t="n">
        <v>1</v>
      </c>
      <c r="G7" s="2" t="n">
        <v>1</v>
      </c>
      <c r="H7" s="3" t="n">
        <v>3370</v>
      </c>
      <c r="I7" s="4" t="n">
        <v>35000</v>
      </c>
      <c r="J7" s="4" t="n">
        <f aca="false">H7*I7</f>
        <v>117950000</v>
      </c>
    </row>
    <row r="8" customFormat="false" ht="15" hidden="false" customHeight="false" outlineLevel="0" collapsed="false">
      <c r="A8" s="2" t="s">
        <v>35</v>
      </c>
      <c r="B8" s="9" t="n">
        <v>1442305</v>
      </c>
      <c r="C8" s="2" t="s">
        <v>59</v>
      </c>
      <c r="D8" s="2" t="s">
        <v>448</v>
      </c>
      <c r="E8" s="2" t="s">
        <v>447</v>
      </c>
      <c r="F8" s="2" t="n">
        <v>1</v>
      </c>
      <c r="G8" s="2" t="n">
        <v>1</v>
      </c>
      <c r="H8" s="3" t="n">
        <v>10</v>
      </c>
      <c r="I8" s="4" t="n">
        <v>35000</v>
      </c>
      <c r="J8" s="4" t="n">
        <f aca="false">H8*I8</f>
        <v>350000</v>
      </c>
    </row>
    <row r="9" customFormat="false" ht="15" hidden="false" customHeight="false" outlineLevel="0" collapsed="false">
      <c r="A9" s="2" t="s">
        <v>300</v>
      </c>
      <c r="B9" s="9" t="n">
        <v>1442105</v>
      </c>
      <c r="C9" s="2" t="s">
        <v>298</v>
      </c>
      <c r="D9" s="2" t="s">
        <v>449</v>
      </c>
      <c r="E9" s="2" t="s">
        <v>447</v>
      </c>
      <c r="F9" s="2" t="n">
        <v>1</v>
      </c>
      <c r="G9" s="2" t="n">
        <v>1</v>
      </c>
      <c r="H9" s="3" t="n">
        <v>15000</v>
      </c>
      <c r="I9" s="4" t="n">
        <v>11093.35</v>
      </c>
      <c r="J9" s="4" t="n">
        <f aca="false">H9*I9</f>
        <v>166400250</v>
      </c>
    </row>
    <row r="10" customFormat="false" ht="15" hidden="false" customHeight="false" outlineLevel="0" collapsed="false">
      <c r="A10" s="2" t="s">
        <v>300</v>
      </c>
      <c r="B10" s="9" t="n">
        <v>1442105</v>
      </c>
      <c r="C10" s="2" t="s">
        <v>305</v>
      </c>
      <c r="D10" s="2" t="s">
        <v>449</v>
      </c>
      <c r="E10" s="2" t="s">
        <v>447</v>
      </c>
      <c r="F10" s="10" t="n">
        <v>1</v>
      </c>
      <c r="G10" s="10" t="n">
        <v>3</v>
      </c>
      <c r="H10" s="11" t="n">
        <v>10000</v>
      </c>
      <c r="I10" s="12" t="n">
        <v>3478.5</v>
      </c>
      <c r="J10" s="12" t="n">
        <f aca="false">H10*I10</f>
        <v>34785000</v>
      </c>
    </row>
    <row r="11" customFormat="false" ht="15" hidden="false" customHeight="false" outlineLevel="0" collapsed="false">
      <c r="A11" s="2" t="s">
        <v>300</v>
      </c>
      <c r="B11" s="9" t="n">
        <v>1442105</v>
      </c>
      <c r="C11" s="2" t="s">
        <v>305</v>
      </c>
      <c r="D11" s="2" t="s">
        <v>449</v>
      </c>
      <c r="E11" s="2" t="s">
        <v>447</v>
      </c>
      <c r="F11" s="10" t="n">
        <v>2</v>
      </c>
      <c r="G11" s="10" t="n">
        <v>3</v>
      </c>
      <c r="H11" s="11" t="n">
        <v>775</v>
      </c>
      <c r="I11" s="12" t="n">
        <v>10467.5</v>
      </c>
      <c r="J11" s="12" t="n">
        <f aca="false">H11*I11</f>
        <v>8112312.5</v>
      </c>
    </row>
    <row r="12" customFormat="false" ht="15" hidden="false" customHeight="false" outlineLevel="0" collapsed="false">
      <c r="A12" s="2" t="s">
        <v>300</v>
      </c>
      <c r="B12" s="9" t="n">
        <v>1442105</v>
      </c>
      <c r="C12" s="2" t="s">
        <v>305</v>
      </c>
      <c r="D12" s="2" t="s">
        <v>449</v>
      </c>
      <c r="E12" s="2" t="s">
        <v>447</v>
      </c>
      <c r="F12" s="10" t="n">
        <v>3</v>
      </c>
      <c r="G12" s="10" t="n">
        <v>3</v>
      </c>
      <c r="H12" s="11" t="n">
        <v>7500</v>
      </c>
      <c r="I12" s="12" t="n">
        <v>11043.4</v>
      </c>
      <c r="J12" s="12" t="n">
        <f aca="false">H12*I12</f>
        <v>82825500</v>
      </c>
    </row>
    <row r="13" customFormat="false" ht="15" hidden="false" customHeight="false" outlineLevel="0" collapsed="false">
      <c r="A13" s="2" t="s">
        <v>66</v>
      </c>
      <c r="B13" s="9" t="n">
        <v>1442301</v>
      </c>
      <c r="C13" s="2" t="s">
        <v>61</v>
      </c>
      <c r="D13" s="2" t="s">
        <v>450</v>
      </c>
      <c r="E13" s="2" t="s">
        <v>447</v>
      </c>
      <c r="F13" s="2" t="n">
        <v>1</v>
      </c>
      <c r="G13" s="2" t="n">
        <v>1</v>
      </c>
      <c r="H13" s="3" t="n">
        <v>4000</v>
      </c>
      <c r="I13" s="4" t="n">
        <v>475.2</v>
      </c>
      <c r="J13" s="4" t="n">
        <f aca="false">H13*I13</f>
        <v>1900800</v>
      </c>
    </row>
    <row r="14" customFormat="false" ht="15" hidden="false" customHeight="false" outlineLevel="0" collapsed="false">
      <c r="A14" s="2" t="s">
        <v>66</v>
      </c>
      <c r="B14" s="9" t="n">
        <v>1442301</v>
      </c>
      <c r="C14" s="2" t="s">
        <v>71</v>
      </c>
      <c r="D14" s="2" t="s">
        <v>446</v>
      </c>
      <c r="E14" s="2" t="s">
        <v>447</v>
      </c>
      <c r="F14" s="2" t="n">
        <v>1</v>
      </c>
      <c r="G14" s="2" t="n">
        <v>1</v>
      </c>
      <c r="H14" s="3" t="n">
        <v>200</v>
      </c>
      <c r="I14" s="4" t="n">
        <v>155.4</v>
      </c>
      <c r="J14" s="4" t="n">
        <f aca="false">H14*I14</f>
        <v>31080</v>
      </c>
    </row>
    <row r="15" customFormat="false" ht="15" hidden="false" customHeight="false" outlineLevel="0" collapsed="false">
      <c r="A15" s="2" t="s">
        <v>66</v>
      </c>
      <c r="B15" s="9" t="n">
        <v>1442301</v>
      </c>
      <c r="C15" s="2" t="s">
        <v>75</v>
      </c>
      <c r="D15" s="2" t="s">
        <v>451</v>
      </c>
      <c r="E15" s="2" t="s">
        <v>447</v>
      </c>
      <c r="F15" s="2" t="n">
        <v>1</v>
      </c>
      <c r="G15" s="2" t="n">
        <v>1</v>
      </c>
      <c r="H15" s="3" t="n">
        <v>3300</v>
      </c>
      <c r="I15" s="4" t="n">
        <v>222</v>
      </c>
      <c r="J15" s="4" t="n">
        <f aca="false">H15*I15</f>
        <v>732600</v>
      </c>
    </row>
    <row r="16" customFormat="false" ht="15" hidden="false" customHeight="false" outlineLevel="0" collapsed="false">
      <c r="A16" s="2" t="s">
        <v>66</v>
      </c>
      <c r="B16" s="9" t="n">
        <v>1442301</v>
      </c>
      <c r="C16" s="2" t="s">
        <v>102</v>
      </c>
      <c r="D16" s="2" t="s">
        <v>452</v>
      </c>
      <c r="E16" s="2" t="s">
        <v>447</v>
      </c>
      <c r="F16" s="2" t="n">
        <v>1</v>
      </c>
      <c r="G16" s="2" t="n">
        <v>1</v>
      </c>
      <c r="H16" s="3" t="n">
        <v>3</v>
      </c>
      <c r="I16" s="4" t="n">
        <v>482850</v>
      </c>
      <c r="J16" s="4" t="n">
        <f aca="false">H16*I16</f>
        <v>1448550</v>
      </c>
    </row>
    <row r="17" customFormat="false" ht="15" hidden="false" customHeight="false" outlineLevel="0" collapsed="false">
      <c r="A17" s="2" t="s">
        <v>66</v>
      </c>
      <c r="B17" s="9" t="n">
        <v>1442301</v>
      </c>
      <c r="C17" s="2" t="s">
        <v>106</v>
      </c>
      <c r="D17" s="2" t="s">
        <v>453</v>
      </c>
      <c r="E17" s="2" t="s">
        <v>447</v>
      </c>
      <c r="F17" s="2" t="n">
        <v>1</v>
      </c>
      <c r="G17" s="2" t="n">
        <v>1</v>
      </c>
      <c r="H17" s="3" t="n">
        <v>2200</v>
      </c>
      <c r="I17" s="4" t="n">
        <v>222</v>
      </c>
      <c r="J17" s="4" t="n">
        <f aca="false">H17*I17</f>
        <v>488400</v>
      </c>
    </row>
    <row r="18" customFormat="false" ht="15" hidden="false" customHeight="false" outlineLevel="0" collapsed="false">
      <c r="A18" s="2" t="s">
        <v>66</v>
      </c>
      <c r="B18" s="9" t="n">
        <v>1442301</v>
      </c>
      <c r="C18" s="2" t="s">
        <v>115</v>
      </c>
      <c r="D18" s="2" t="s">
        <v>454</v>
      </c>
      <c r="E18" s="2" t="s">
        <v>447</v>
      </c>
      <c r="F18" s="2" t="n">
        <v>1</v>
      </c>
      <c r="G18" s="2" t="n">
        <v>1</v>
      </c>
      <c r="H18" s="3" t="n">
        <v>100</v>
      </c>
      <c r="I18" s="4" t="n">
        <v>1249.86</v>
      </c>
      <c r="J18" s="4" t="n">
        <f aca="false">H18*I18</f>
        <v>124986</v>
      </c>
    </row>
    <row r="19" customFormat="false" ht="15" hidden="false" customHeight="false" outlineLevel="0" collapsed="false">
      <c r="A19" s="2" t="s">
        <v>66</v>
      </c>
      <c r="B19" s="9" t="n">
        <v>1442301</v>
      </c>
      <c r="C19" s="2" t="s">
        <v>117</v>
      </c>
      <c r="D19" s="2" t="s">
        <v>455</v>
      </c>
      <c r="E19" s="2" t="s">
        <v>447</v>
      </c>
      <c r="F19" s="2" t="n">
        <v>1</v>
      </c>
      <c r="G19" s="2" t="n">
        <v>1</v>
      </c>
      <c r="H19" s="3" t="n">
        <v>4400</v>
      </c>
      <c r="I19" s="4" t="n">
        <v>112.11</v>
      </c>
      <c r="J19" s="4" t="n">
        <f aca="false">H19*I19</f>
        <v>493284</v>
      </c>
    </row>
    <row r="20" customFormat="false" ht="15" hidden="false" customHeight="false" outlineLevel="0" collapsed="false">
      <c r="A20" s="2" t="s">
        <v>66</v>
      </c>
      <c r="B20" s="9" t="n">
        <v>1442301</v>
      </c>
      <c r="C20" s="2" t="s">
        <v>119</v>
      </c>
      <c r="D20" s="2" t="s">
        <v>456</v>
      </c>
      <c r="E20" s="2" t="s">
        <v>447</v>
      </c>
      <c r="F20" s="10" t="n">
        <v>1</v>
      </c>
      <c r="G20" s="10" t="n">
        <v>2</v>
      </c>
      <c r="H20" s="11" t="n">
        <v>200</v>
      </c>
      <c r="I20" s="12" t="n">
        <v>110</v>
      </c>
      <c r="J20" s="12" t="n">
        <f aca="false">H20*I20</f>
        <v>22000</v>
      </c>
    </row>
    <row r="21" customFormat="false" ht="15" hidden="false" customHeight="false" outlineLevel="0" collapsed="false">
      <c r="A21" s="2" t="s">
        <v>66</v>
      </c>
      <c r="B21" s="9" t="n">
        <v>1442301</v>
      </c>
      <c r="C21" s="2" t="s">
        <v>119</v>
      </c>
      <c r="D21" s="2" t="s">
        <v>456</v>
      </c>
      <c r="E21" s="2" t="s">
        <v>447</v>
      </c>
      <c r="F21" s="10" t="n">
        <v>2</v>
      </c>
      <c r="G21" s="10" t="n">
        <v>2</v>
      </c>
      <c r="H21" s="11" t="n">
        <v>700</v>
      </c>
      <c r="I21" s="12" t="n">
        <v>438.45</v>
      </c>
      <c r="J21" s="12" t="n">
        <f aca="false">H21*I21</f>
        <v>306915</v>
      </c>
    </row>
    <row r="22" customFormat="false" ht="15" hidden="false" customHeight="false" outlineLevel="0" collapsed="false">
      <c r="A22" s="2" t="s">
        <v>66</v>
      </c>
      <c r="B22" s="9" t="n">
        <v>1442301</v>
      </c>
      <c r="C22" s="2" t="s">
        <v>121</v>
      </c>
      <c r="D22" s="2" t="s">
        <v>456</v>
      </c>
      <c r="E22" s="2" t="s">
        <v>447</v>
      </c>
      <c r="F22" s="2" t="n">
        <v>1</v>
      </c>
      <c r="G22" s="2" t="n">
        <v>1</v>
      </c>
      <c r="H22" s="3" t="n">
        <v>32000</v>
      </c>
      <c r="I22" s="4" t="n">
        <v>72.15</v>
      </c>
      <c r="J22" s="4" t="n">
        <f aca="false">H22*I22</f>
        <v>2308800</v>
      </c>
    </row>
    <row r="23" customFormat="false" ht="15" hidden="false" customHeight="false" outlineLevel="0" collapsed="false">
      <c r="A23" s="2" t="s">
        <v>66</v>
      </c>
      <c r="B23" s="9" t="n">
        <v>1442301</v>
      </c>
      <c r="C23" s="2" t="s">
        <v>127</v>
      </c>
      <c r="D23" s="2" t="s">
        <v>457</v>
      </c>
      <c r="E23" s="2" t="s">
        <v>447</v>
      </c>
      <c r="F23" s="10" t="n">
        <v>1</v>
      </c>
      <c r="G23" s="10" t="n">
        <v>2</v>
      </c>
      <c r="H23" s="11" t="n">
        <v>48000</v>
      </c>
      <c r="I23" s="12" t="n">
        <v>177.6</v>
      </c>
      <c r="J23" s="12" t="n">
        <f aca="false">H23*I23</f>
        <v>8524800</v>
      </c>
    </row>
    <row r="24" customFormat="false" ht="15" hidden="false" customHeight="false" outlineLevel="0" collapsed="false">
      <c r="A24" s="2" t="s">
        <v>66</v>
      </c>
      <c r="B24" s="9" t="n">
        <v>1442301</v>
      </c>
      <c r="C24" s="2" t="s">
        <v>127</v>
      </c>
      <c r="D24" s="2" t="s">
        <v>457</v>
      </c>
      <c r="E24" s="2" t="s">
        <v>447</v>
      </c>
      <c r="F24" s="10" t="n">
        <v>2</v>
      </c>
      <c r="G24" s="10" t="n">
        <v>2</v>
      </c>
      <c r="H24" s="11" t="n">
        <v>250</v>
      </c>
      <c r="I24" s="12" t="n">
        <v>200</v>
      </c>
      <c r="J24" s="12" t="n">
        <f aca="false">H24*I24</f>
        <v>50000</v>
      </c>
    </row>
    <row r="25" customFormat="false" ht="15" hidden="false" customHeight="false" outlineLevel="0" collapsed="false">
      <c r="A25" s="2" t="s">
        <v>66</v>
      </c>
      <c r="B25" s="9" t="n">
        <v>1442301</v>
      </c>
      <c r="C25" s="2" t="s">
        <v>154</v>
      </c>
      <c r="D25" s="2" t="s">
        <v>458</v>
      </c>
      <c r="E25" s="2" t="s">
        <v>447</v>
      </c>
      <c r="F25" s="10" t="n">
        <v>1</v>
      </c>
      <c r="G25" s="10" t="n">
        <v>2</v>
      </c>
      <c r="H25" s="11" t="n">
        <v>34000</v>
      </c>
      <c r="I25" s="12" t="n">
        <v>810.3</v>
      </c>
      <c r="J25" s="12" t="n">
        <f aca="false">H25*I25</f>
        <v>27550200</v>
      </c>
    </row>
    <row r="26" customFormat="false" ht="15" hidden="false" customHeight="false" outlineLevel="0" collapsed="false">
      <c r="A26" s="2" t="s">
        <v>66</v>
      </c>
      <c r="B26" s="9" t="n">
        <v>1442301</v>
      </c>
      <c r="C26" s="2" t="s">
        <v>154</v>
      </c>
      <c r="D26" s="2" t="s">
        <v>458</v>
      </c>
      <c r="E26" s="2" t="s">
        <v>447</v>
      </c>
      <c r="F26" s="10" t="n">
        <v>2</v>
      </c>
      <c r="G26" s="10" t="n">
        <v>2</v>
      </c>
      <c r="H26" s="11" t="n">
        <v>200</v>
      </c>
      <c r="I26" s="12" t="n">
        <v>812.52</v>
      </c>
      <c r="J26" s="12" t="n">
        <f aca="false">H26*I26</f>
        <v>162504</v>
      </c>
    </row>
    <row r="27" customFormat="false" ht="15" hidden="false" customHeight="false" outlineLevel="0" collapsed="false">
      <c r="A27" s="2" t="s">
        <v>66</v>
      </c>
      <c r="B27" s="9" t="n">
        <v>1442301</v>
      </c>
      <c r="C27" s="2" t="s">
        <v>167</v>
      </c>
      <c r="D27" s="2" t="s">
        <v>459</v>
      </c>
      <c r="E27" s="2" t="s">
        <v>447</v>
      </c>
      <c r="F27" s="10" t="n">
        <v>1</v>
      </c>
      <c r="G27" s="10" t="n">
        <v>2</v>
      </c>
      <c r="H27" s="11" t="n">
        <v>100</v>
      </c>
      <c r="I27" s="12" t="n">
        <v>159.5</v>
      </c>
      <c r="J27" s="12" t="n">
        <f aca="false">H27*I27</f>
        <v>15950</v>
      </c>
    </row>
    <row r="28" customFormat="false" ht="15" hidden="false" customHeight="false" outlineLevel="0" collapsed="false">
      <c r="A28" s="2" t="s">
        <v>66</v>
      </c>
      <c r="B28" s="9" t="n">
        <v>1442301</v>
      </c>
      <c r="C28" s="2" t="s">
        <v>167</v>
      </c>
      <c r="D28" s="2" t="s">
        <v>459</v>
      </c>
      <c r="E28" s="2" t="s">
        <v>447</v>
      </c>
      <c r="F28" s="10" t="n">
        <v>2</v>
      </c>
      <c r="G28" s="10" t="n">
        <v>2</v>
      </c>
      <c r="H28" s="11" t="n">
        <v>13700</v>
      </c>
      <c r="I28" s="12" t="n">
        <v>194.25</v>
      </c>
      <c r="J28" s="12" t="n">
        <f aca="false">H28*I28</f>
        <v>2661225</v>
      </c>
    </row>
    <row r="29" customFormat="false" ht="15" hidden="false" customHeight="false" outlineLevel="0" collapsed="false">
      <c r="A29" s="2" t="s">
        <v>66</v>
      </c>
      <c r="B29" s="9" t="n">
        <v>1442301</v>
      </c>
      <c r="C29" s="2" t="s">
        <v>169</v>
      </c>
      <c r="D29" s="2" t="s">
        <v>456</v>
      </c>
      <c r="E29" s="2" t="s">
        <v>447</v>
      </c>
      <c r="F29" s="2" t="n">
        <v>1</v>
      </c>
      <c r="G29" s="2" t="n">
        <v>1</v>
      </c>
      <c r="H29" s="3" t="n">
        <v>9100</v>
      </c>
      <c r="I29" s="4" t="n">
        <v>172.05</v>
      </c>
      <c r="J29" s="4" t="n">
        <f aca="false">H29*I29</f>
        <v>1565655</v>
      </c>
    </row>
    <row r="30" customFormat="false" ht="15" hidden="false" customHeight="false" outlineLevel="0" collapsed="false">
      <c r="A30" s="2" t="s">
        <v>66</v>
      </c>
      <c r="B30" s="9" t="n">
        <v>1442301</v>
      </c>
      <c r="C30" s="2" t="s">
        <v>171</v>
      </c>
      <c r="D30" s="2" t="s">
        <v>460</v>
      </c>
      <c r="E30" s="2" t="s">
        <v>447</v>
      </c>
      <c r="F30" s="10" t="n">
        <v>1</v>
      </c>
      <c r="G30" s="10" t="n">
        <v>2</v>
      </c>
      <c r="H30" s="11" t="n">
        <v>200</v>
      </c>
      <c r="I30" s="12" t="n">
        <v>176</v>
      </c>
      <c r="J30" s="12" t="n">
        <f aca="false">H30*I30</f>
        <v>35200</v>
      </c>
    </row>
    <row r="31" customFormat="false" ht="15" hidden="false" customHeight="false" outlineLevel="0" collapsed="false">
      <c r="A31" s="2" t="s">
        <v>66</v>
      </c>
      <c r="B31" s="9" t="n">
        <v>1442301</v>
      </c>
      <c r="C31" s="2" t="s">
        <v>171</v>
      </c>
      <c r="D31" s="2" t="s">
        <v>460</v>
      </c>
      <c r="E31" s="2" t="s">
        <v>447</v>
      </c>
      <c r="F31" s="10" t="n">
        <v>2</v>
      </c>
      <c r="G31" s="10" t="n">
        <v>2</v>
      </c>
      <c r="H31" s="11" t="n">
        <v>6500</v>
      </c>
      <c r="I31" s="12" t="n">
        <v>222</v>
      </c>
      <c r="J31" s="12" t="n">
        <f aca="false">H31*I31</f>
        <v>1443000</v>
      </c>
    </row>
    <row r="32" customFormat="false" ht="15" hidden="false" customHeight="false" outlineLevel="0" collapsed="false">
      <c r="A32" s="2" t="s">
        <v>66</v>
      </c>
      <c r="B32" s="9" t="n">
        <v>1442301</v>
      </c>
      <c r="C32" s="2" t="s">
        <v>208</v>
      </c>
      <c r="D32" s="2" t="s">
        <v>457</v>
      </c>
      <c r="E32" s="2" t="s">
        <v>447</v>
      </c>
      <c r="F32" s="2" t="n">
        <v>1</v>
      </c>
      <c r="G32" s="2" t="n">
        <v>1</v>
      </c>
      <c r="H32" s="3" t="n">
        <v>24000</v>
      </c>
      <c r="I32" s="4" t="n">
        <v>299.7</v>
      </c>
      <c r="J32" s="4" t="n">
        <f aca="false">H32*I32</f>
        <v>7192800</v>
      </c>
    </row>
    <row r="33" customFormat="false" ht="15" hidden="false" customHeight="false" outlineLevel="0" collapsed="false">
      <c r="A33" s="2" t="s">
        <v>66</v>
      </c>
      <c r="B33" s="9" t="n">
        <v>1442301</v>
      </c>
      <c r="C33" s="2" t="s">
        <v>210</v>
      </c>
      <c r="D33" s="2" t="s">
        <v>461</v>
      </c>
      <c r="E33" s="2" t="s">
        <v>447</v>
      </c>
      <c r="F33" s="2" t="n">
        <v>1</v>
      </c>
      <c r="G33" s="2" t="n">
        <v>1</v>
      </c>
      <c r="H33" s="3" t="n">
        <v>51000</v>
      </c>
      <c r="I33" s="4" t="n">
        <v>30.8</v>
      </c>
      <c r="J33" s="4" t="n">
        <f aca="false">H33*I33</f>
        <v>1570800</v>
      </c>
    </row>
    <row r="34" customFormat="false" ht="15" hidden="false" customHeight="false" outlineLevel="0" collapsed="false">
      <c r="A34" s="2" t="s">
        <v>66</v>
      </c>
      <c r="B34" s="9" t="n">
        <v>1442301</v>
      </c>
      <c r="C34" s="2" t="s">
        <v>212</v>
      </c>
      <c r="D34" s="2" t="s">
        <v>461</v>
      </c>
      <c r="E34" s="2" t="s">
        <v>447</v>
      </c>
      <c r="F34" s="2" t="n">
        <v>1</v>
      </c>
      <c r="G34" s="2" t="n">
        <v>1</v>
      </c>
      <c r="H34" s="3" t="n">
        <v>29000</v>
      </c>
      <c r="I34" s="4" t="n">
        <v>30.8</v>
      </c>
      <c r="J34" s="4" t="n">
        <f aca="false">H34*I34</f>
        <v>893200</v>
      </c>
    </row>
    <row r="35" customFormat="false" ht="15" hidden="false" customHeight="false" outlineLevel="0" collapsed="false">
      <c r="A35" s="2" t="s">
        <v>66</v>
      </c>
      <c r="B35" s="9" t="n">
        <v>1442301</v>
      </c>
      <c r="C35" s="2" t="s">
        <v>214</v>
      </c>
      <c r="D35" s="2" t="s">
        <v>461</v>
      </c>
      <c r="E35" s="2" t="s">
        <v>447</v>
      </c>
      <c r="F35" s="2" t="n">
        <v>1</v>
      </c>
      <c r="G35" s="2" t="n">
        <v>1</v>
      </c>
      <c r="H35" s="3" t="n">
        <v>19000</v>
      </c>
      <c r="I35" s="4" t="n">
        <v>30.8</v>
      </c>
      <c r="J35" s="4" t="n">
        <f aca="false">H35*I35</f>
        <v>585200</v>
      </c>
    </row>
    <row r="36" customFormat="false" ht="15" hidden="false" customHeight="false" outlineLevel="0" collapsed="false">
      <c r="A36" s="2" t="s">
        <v>66</v>
      </c>
      <c r="B36" s="9" t="n">
        <v>1442301</v>
      </c>
      <c r="C36" s="2" t="s">
        <v>216</v>
      </c>
      <c r="D36" s="2" t="s">
        <v>461</v>
      </c>
      <c r="E36" s="2" t="s">
        <v>447</v>
      </c>
      <c r="F36" s="2" t="n">
        <v>1</v>
      </c>
      <c r="G36" s="2" t="n">
        <v>1</v>
      </c>
      <c r="H36" s="3" t="n">
        <v>29000</v>
      </c>
      <c r="I36" s="4" t="n">
        <v>30.8</v>
      </c>
      <c r="J36" s="4" t="n">
        <f aca="false">H36*I36</f>
        <v>893200</v>
      </c>
    </row>
    <row r="37" customFormat="false" ht="15" hidden="false" customHeight="false" outlineLevel="0" collapsed="false">
      <c r="A37" s="2" t="s">
        <v>66</v>
      </c>
      <c r="B37" s="9" t="n">
        <v>1442301</v>
      </c>
      <c r="C37" s="2" t="s">
        <v>218</v>
      </c>
      <c r="D37" s="2" t="s">
        <v>461</v>
      </c>
      <c r="E37" s="2" t="s">
        <v>447</v>
      </c>
      <c r="F37" s="2" t="n">
        <v>1</v>
      </c>
      <c r="G37" s="2" t="n">
        <v>1</v>
      </c>
      <c r="H37" s="3" t="n">
        <v>1000</v>
      </c>
      <c r="I37" s="4" t="n">
        <v>33.3</v>
      </c>
      <c r="J37" s="4" t="n">
        <f aca="false">H37*I37</f>
        <v>33300</v>
      </c>
    </row>
    <row r="38" customFormat="false" ht="15" hidden="false" customHeight="false" outlineLevel="0" collapsed="false">
      <c r="A38" s="2" t="s">
        <v>66</v>
      </c>
      <c r="B38" s="9" t="n">
        <v>1442301</v>
      </c>
      <c r="C38" s="2" t="s">
        <v>224</v>
      </c>
      <c r="D38" s="2" t="s">
        <v>461</v>
      </c>
      <c r="E38" s="2" t="s">
        <v>447</v>
      </c>
      <c r="F38" s="2" t="n">
        <v>1</v>
      </c>
      <c r="G38" s="2" t="n">
        <v>1</v>
      </c>
      <c r="H38" s="3" t="n">
        <v>204000</v>
      </c>
      <c r="I38" s="4" t="n">
        <v>36.63</v>
      </c>
      <c r="J38" s="4" t="n">
        <f aca="false">H38*I38</f>
        <v>7472520</v>
      </c>
    </row>
    <row r="39" customFormat="false" ht="15" hidden="false" customHeight="false" outlineLevel="0" collapsed="false">
      <c r="A39" s="2" t="s">
        <v>66</v>
      </c>
      <c r="B39" s="9" t="n">
        <v>1442301</v>
      </c>
      <c r="C39" s="2" t="s">
        <v>226</v>
      </c>
      <c r="D39" s="2" t="s">
        <v>461</v>
      </c>
      <c r="E39" s="2" t="s">
        <v>447</v>
      </c>
      <c r="F39" s="2" t="n">
        <v>1</v>
      </c>
      <c r="G39" s="2" t="n">
        <v>1</v>
      </c>
      <c r="H39" s="3" t="n">
        <v>53000</v>
      </c>
      <c r="I39" s="4" t="n">
        <v>30.8</v>
      </c>
      <c r="J39" s="4" t="n">
        <f aca="false">H39*I39</f>
        <v>1632400</v>
      </c>
    </row>
    <row r="40" customFormat="false" ht="15" hidden="false" customHeight="false" outlineLevel="0" collapsed="false">
      <c r="A40" s="2" t="s">
        <v>66</v>
      </c>
      <c r="B40" s="9" t="n">
        <v>1442301</v>
      </c>
      <c r="C40" s="2" t="s">
        <v>228</v>
      </c>
      <c r="D40" s="2" t="s">
        <v>460</v>
      </c>
      <c r="E40" s="2" t="s">
        <v>447</v>
      </c>
      <c r="F40" s="2" t="n">
        <v>1</v>
      </c>
      <c r="G40" s="2" t="n">
        <v>1</v>
      </c>
      <c r="H40" s="3" t="n">
        <v>2800</v>
      </c>
      <c r="I40" s="4" t="n">
        <v>233.1</v>
      </c>
      <c r="J40" s="4" t="n">
        <f aca="false">H40*I40</f>
        <v>652680</v>
      </c>
    </row>
    <row r="41" customFormat="false" ht="15" hidden="false" customHeight="false" outlineLevel="0" collapsed="false">
      <c r="A41" s="2" t="s">
        <v>66</v>
      </c>
      <c r="B41" s="9" t="n">
        <v>1442301</v>
      </c>
      <c r="C41" s="2" t="s">
        <v>230</v>
      </c>
      <c r="D41" s="2" t="s">
        <v>458</v>
      </c>
      <c r="E41" s="2" t="s">
        <v>447</v>
      </c>
      <c r="F41" s="2" t="n">
        <v>1</v>
      </c>
      <c r="G41" s="2" t="n">
        <v>1</v>
      </c>
      <c r="H41" s="3" t="n">
        <v>500</v>
      </c>
      <c r="I41" s="4" t="n">
        <v>900.21</v>
      </c>
      <c r="J41" s="4" t="n">
        <f aca="false">H41*I41</f>
        <v>450105</v>
      </c>
    </row>
    <row r="42" customFormat="false" ht="15" hidden="false" customHeight="false" outlineLevel="0" collapsed="false">
      <c r="A42" s="2" t="s">
        <v>66</v>
      </c>
      <c r="B42" s="9" t="n">
        <v>1442301</v>
      </c>
      <c r="C42" s="2" t="s">
        <v>233</v>
      </c>
      <c r="D42" s="2" t="s">
        <v>452</v>
      </c>
      <c r="E42" s="2" t="s">
        <v>447</v>
      </c>
      <c r="F42" s="2" t="n">
        <v>1</v>
      </c>
      <c r="G42" s="2" t="n">
        <v>1</v>
      </c>
      <c r="H42" s="3" t="n">
        <v>46100</v>
      </c>
      <c r="I42" s="4" t="n">
        <v>165.39</v>
      </c>
      <c r="J42" s="4" t="n">
        <f aca="false">H42*I42</f>
        <v>7624479</v>
      </c>
    </row>
    <row r="43" customFormat="false" ht="15" hidden="false" customHeight="false" outlineLevel="0" collapsed="false">
      <c r="A43" s="2" t="s">
        <v>66</v>
      </c>
      <c r="B43" s="9" t="n">
        <v>1442301</v>
      </c>
      <c r="C43" s="2" t="s">
        <v>240</v>
      </c>
      <c r="D43" s="2" t="s">
        <v>458</v>
      </c>
      <c r="E43" s="2" t="s">
        <v>447</v>
      </c>
      <c r="F43" s="10" t="n">
        <v>1</v>
      </c>
      <c r="G43" s="10" t="n">
        <v>2</v>
      </c>
      <c r="H43" s="11" t="n">
        <v>100</v>
      </c>
      <c r="I43" s="12" t="n">
        <v>1298.7</v>
      </c>
      <c r="J43" s="12" t="n">
        <f aca="false">H43*I43</f>
        <v>129870</v>
      </c>
    </row>
    <row r="44" customFormat="false" ht="15" hidden="false" customHeight="false" outlineLevel="0" collapsed="false">
      <c r="A44" s="2" t="s">
        <v>66</v>
      </c>
      <c r="B44" s="9" t="n">
        <v>1442301</v>
      </c>
      <c r="C44" s="2" t="s">
        <v>240</v>
      </c>
      <c r="D44" s="2" t="s">
        <v>458</v>
      </c>
      <c r="E44" s="2" t="s">
        <v>447</v>
      </c>
      <c r="F44" s="10" t="n">
        <v>2</v>
      </c>
      <c r="G44" s="10" t="n">
        <v>2</v>
      </c>
      <c r="H44" s="11" t="n">
        <v>4000</v>
      </c>
      <c r="I44" s="12" t="n">
        <v>1465.2</v>
      </c>
      <c r="J44" s="12" t="n">
        <f aca="false">H44*I44</f>
        <v>5860800</v>
      </c>
    </row>
    <row r="45" customFormat="false" ht="15" hidden="false" customHeight="false" outlineLevel="0" collapsed="false">
      <c r="A45" s="2" t="s">
        <v>66</v>
      </c>
      <c r="B45" s="9" t="n">
        <v>1442301</v>
      </c>
      <c r="C45" s="2" t="s">
        <v>242</v>
      </c>
      <c r="D45" s="2" t="s">
        <v>454</v>
      </c>
      <c r="E45" s="2" t="s">
        <v>447</v>
      </c>
      <c r="F45" s="10" t="n">
        <v>1</v>
      </c>
      <c r="G45" s="10" t="n">
        <v>2</v>
      </c>
      <c r="H45" s="11" t="n">
        <v>1200</v>
      </c>
      <c r="I45" s="12" t="n">
        <v>199.8</v>
      </c>
      <c r="J45" s="12" t="n">
        <f aca="false">H45*I45</f>
        <v>239760</v>
      </c>
    </row>
    <row r="46" customFormat="false" ht="15" hidden="false" customHeight="false" outlineLevel="0" collapsed="false">
      <c r="A46" s="2" t="s">
        <v>66</v>
      </c>
      <c r="B46" s="9" t="n">
        <v>1442301</v>
      </c>
      <c r="C46" s="2" t="s">
        <v>242</v>
      </c>
      <c r="D46" s="2" t="s">
        <v>454</v>
      </c>
      <c r="E46" s="2" t="s">
        <v>447</v>
      </c>
      <c r="F46" s="10" t="n">
        <v>2</v>
      </c>
      <c r="G46" s="10" t="n">
        <v>2</v>
      </c>
      <c r="H46" s="11" t="n">
        <v>4500</v>
      </c>
      <c r="I46" s="12" t="n">
        <v>210.9</v>
      </c>
      <c r="J46" s="12" t="n">
        <f aca="false">H46*I46</f>
        <v>949050</v>
      </c>
    </row>
    <row r="47" customFormat="false" ht="15" hidden="false" customHeight="false" outlineLevel="0" collapsed="false">
      <c r="A47" s="2" t="s">
        <v>66</v>
      </c>
      <c r="B47" s="9" t="n">
        <v>1442301</v>
      </c>
      <c r="C47" s="2" t="s">
        <v>245</v>
      </c>
      <c r="D47" s="2" t="s">
        <v>460</v>
      </c>
      <c r="E47" s="2" t="s">
        <v>447</v>
      </c>
      <c r="F47" s="2" t="n">
        <v>1</v>
      </c>
      <c r="G47" s="2" t="n">
        <v>1</v>
      </c>
      <c r="H47" s="3" t="n">
        <v>16600</v>
      </c>
      <c r="I47" s="4" t="n">
        <v>349.65</v>
      </c>
      <c r="J47" s="4" t="n">
        <f aca="false">H47*I47</f>
        <v>5804190</v>
      </c>
    </row>
    <row r="48" customFormat="false" ht="15" hidden="false" customHeight="false" outlineLevel="0" collapsed="false">
      <c r="A48" s="2" t="s">
        <v>66</v>
      </c>
      <c r="B48" s="9" t="n">
        <v>1442301</v>
      </c>
      <c r="C48" s="2" t="s">
        <v>252</v>
      </c>
      <c r="D48" s="2" t="s">
        <v>462</v>
      </c>
      <c r="E48" s="2" t="s">
        <v>447</v>
      </c>
      <c r="F48" s="2" t="n">
        <v>1</v>
      </c>
      <c r="G48" s="2" t="n">
        <v>1</v>
      </c>
      <c r="H48" s="3" t="n">
        <v>15900</v>
      </c>
      <c r="I48" s="4" t="n">
        <v>160.95</v>
      </c>
      <c r="J48" s="4" t="n">
        <f aca="false">H48*I48</f>
        <v>2559105</v>
      </c>
    </row>
    <row r="49" customFormat="false" ht="15" hidden="false" customHeight="false" outlineLevel="0" collapsed="false">
      <c r="A49" s="2" t="s">
        <v>66</v>
      </c>
      <c r="B49" s="9" t="n">
        <v>1442301</v>
      </c>
      <c r="C49" s="2" t="s">
        <v>254</v>
      </c>
      <c r="D49" s="2" t="s">
        <v>463</v>
      </c>
      <c r="E49" s="2" t="s">
        <v>447</v>
      </c>
      <c r="F49" s="10" t="n">
        <v>1</v>
      </c>
      <c r="G49" s="10" t="n">
        <v>2</v>
      </c>
      <c r="H49" s="11" t="n">
        <v>100</v>
      </c>
      <c r="I49" s="12" t="n">
        <v>132</v>
      </c>
      <c r="J49" s="12" t="n">
        <f aca="false">H49*I49</f>
        <v>13200</v>
      </c>
    </row>
    <row r="50" customFormat="false" ht="15" hidden="false" customHeight="false" outlineLevel="0" collapsed="false">
      <c r="A50" s="2" t="s">
        <v>66</v>
      </c>
      <c r="B50" s="9" t="n">
        <v>1442301</v>
      </c>
      <c r="C50" s="2" t="s">
        <v>254</v>
      </c>
      <c r="D50" s="2" t="s">
        <v>463</v>
      </c>
      <c r="E50" s="2" t="s">
        <v>447</v>
      </c>
      <c r="F50" s="10" t="n">
        <v>2</v>
      </c>
      <c r="G50" s="10" t="n">
        <v>2</v>
      </c>
      <c r="H50" s="11" t="n">
        <v>18300</v>
      </c>
      <c r="I50" s="12" t="n">
        <v>172.05</v>
      </c>
      <c r="J50" s="12" t="n">
        <f aca="false">H50*I50</f>
        <v>3148515</v>
      </c>
    </row>
    <row r="51" customFormat="false" ht="15" hidden="false" customHeight="false" outlineLevel="0" collapsed="false">
      <c r="A51" s="2" t="s">
        <v>66</v>
      </c>
      <c r="B51" s="9" t="n">
        <v>1442301</v>
      </c>
      <c r="C51" s="2" t="s">
        <v>256</v>
      </c>
      <c r="D51" s="2" t="s">
        <v>464</v>
      </c>
      <c r="E51" s="2" t="s">
        <v>447</v>
      </c>
      <c r="F51" s="2" t="n">
        <v>1</v>
      </c>
      <c r="G51" s="2" t="n">
        <v>1</v>
      </c>
      <c r="H51" s="3" t="n">
        <v>11100</v>
      </c>
      <c r="I51" s="4" t="n">
        <v>194.25</v>
      </c>
      <c r="J51" s="4" t="n">
        <f aca="false">H51*I51</f>
        <v>2156175</v>
      </c>
    </row>
    <row r="52" customFormat="false" ht="15" hidden="false" customHeight="false" outlineLevel="0" collapsed="false">
      <c r="A52" s="2" t="s">
        <v>66</v>
      </c>
      <c r="B52" s="9" t="n">
        <v>1442301</v>
      </c>
      <c r="C52" s="2" t="s">
        <v>258</v>
      </c>
      <c r="D52" s="2" t="s">
        <v>465</v>
      </c>
      <c r="E52" s="2" t="s">
        <v>447</v>
      </c>
      <c r="F52" s="2" t="n">
        <v>1</v>
      </c>
      <c r="G52" s="2" t="n">
        <v>1</v>
      </c>
      <c r="H52" s="3" t="n">
        <v>20300</v>
      </c>
      <c r="I52" s="4" t="n">
        <v>405.15</v>
      </c>
      <c r="J52" s="4" t="n">
        <f aca="false">H52*I52</f>
        <v>8224545</v>
      </c>
    </row>
    <row r="53" customFormat="false" ht="15" hidden="false" customHeight="false" outlineLevel="0" collapsed="false">
      <c r="A53" s="2" t="s">
        <v>66</v>
      </c>
      <c r="B53" s="9" t="n">
        <v>1442301</v>
      </c>
      <c r="C53" s="2" t="s">
        <v>262</v>
      </c>
      <c r="D53" s="2" t="s">
        <v>466</v>
      </c>
      <c r="E53" s="2" t="s">
        <v>447</v>
      </c>
      <c r="F53" s="2" t="n">
        <v>1</v>
      </c>
      <c r="G53" s="2" t="n">
        <v>1</v>
      </c>
      <c r="H53" s="3" t="n">
        <v>600</v>
      </c>
      <c r="I53" s="4" t="n">
        <v>1100</v>
      </c>
      <c r="J53" s="4" t="n">
        <f aca="false">H53*I53</f>
        <v>660000</v>
      </c>
    </row>
    <row r="54" customFormat="false" ht="15" hidden="false" customHeight="false" outlineLevel="0" collapsed="false">
      <c r="A54" s="2" t="s">
        <v>66</v>
      </c>
      <c r="B54" s="9" t="n">
        <v>1442301</v>
      </c>
      <c r="C54" s="2" t="s">
        <v>264</v>
      </c>
      <c r="D54" s="2" t="s">
        <v>458</v>
      </c>
      <c r="E54" s="2" t="s">
        <v>447</v>
      </c>
      <c r="F54" s="2" t="n">
        <v>1</v>
      </c>
      <c r="G54" s="2" t="n">
        <v>1</v>
      </c>
      <c r="H54" s="3" t="n">
        <v>1800</v>
      </c>
      <c r="I54" s="4" t="n">
        <v>364.08</v>
      </c>
      <c r="J54" s="4" t="n">
        <f aca="false">H54*I54</f>
        <v>655344</v>
      </c>
    </row>
    <row r="55" customFormat="false" ht="15" hidden="false" customHeight="false" outlineLevel="0" collapsed="false">
      <c r="A55" s="2" t="s">
        <v>66</v>
      </c>
      <c r="B55" s="9" t="n">
        <v>1442301</v>
      </c>
      <c r="C55" s="2" t="s">
        <v>268</v>
      </c>
      <c r="D55" s="2" t="s">
        <v>467</v>
      </c>
      <c r="E55" s="2" t="s">
        <v>447</v>
      </c>
      <c r="F55" s="2" t="n">
        <v>1</v>
      </c>
      <c r="G55" s="2" t="n">
        <v>1</v>
      </c>
      <c r="H55" s="3" t="n">
        <v>5000</v>
      </c>
      <c r="I55" s="4" t="n">
        <v>187.59</v>
      </c>
      <c r="J55" s="4" t="n">
        <f aca="false">H55*I55</f>
        <v>937950</v>
      </c>
    </row>
    <row r="56" customFormat="false" ht="15" hidden="false" customHeight="false" outlineLevel="0" collapsed="false">
      <c r="A56" s="2" t="s">
        <v>66</v>
      </c>
      <c r="B56" s="9" t="n">
        <v>1442301</v>
      </c>
      <c r="C56" s="2" t="s">
        <v>270</v>
      </c>
      <c r="D56" s="2" t="s">
        <v>452</v>
      </c>
      <c r="E56" s="2" t="s">
        <v>447</v>
      </c>
      <c r="F56" s="2" t="n">
        <v>1</v>
      </c>
      <c r="G56" s="2" t="n">
        <v>1</v>
      </c>
      <c r="H56" s="3" t="n">
        <v>17900</v>
      </c>
      <c r="I56" s="4" t="n">
        <v>182.04</v>
      </c>
      <c r="J56" s="4" t="n">
        <f aca="false">H56*I56</f>
        <v>3258516</v>
      </c>
    </row>
    <row r="57" customFormat="false" ht="15" hidden="false" customHeight="false" outlineLevel="0" collapsed="false">
      <c r="A57" s="2" t="s">
        <v>66</v>
      </c>
      <c r="B57" s="9" t="n">
        <v>1442301</v>
      </c>
      <c r="C57" s="2" t="s">
        <v>276</v>
      </c>
      <c r="D57" s="2" t="s">
        <v>468</v>
      </c>
      <c r="E57" s="2" t="s">
        <v>447</v>
      </c>
      <c r="F57" s="2" t="n">
        <v>1</v>
      </c>
      <c r="G57" s="2" t="n">
        <v>1</v>
      </c>
      <c r="H57" s="3" t="n">
        <v>750</v>
      </c>
      <c r="I57" s="4" t="n">
        <v>168.72</v>
      </c>
      <c r="J57" s="4" t="n">
        <f aca="false">H57*I57</f>
        <v>126540</v>
      </c>
    </row>
    <row r="58" customFormat="false" ht="15" hidden="false" customHeight="false" outlineLevel="0" collapsed="false">
      <c r="A58" s="2" t="s">
        <v>66</v>
      </c>
      <c r="B58" s="9" t="n">
        <v>1442301</v>
      </c>
      <c r="C58" s="2" t="s">
        <v>278</v>
      </c>
      <c r="D58" s="2" t="s">
        <v>469</v>
      </c>
      <c r="E58" s="2" t="s">
        <v>447</v>
      </c>
      <c r="F58" s="2" t="n">
        <v>1</v>
      </c>
      <c r="G58" s="2" t="n">
        <v>1</v>
      </c>
      <c r="H58" s="3" t="n">
        <v>5100</v>
      </c>
      <c r="I58" s="4" t="n">
        <v>1648.35</v>
      </c>
      <c r="J58" s="4" t="n">
        <f aca="false">H58*I58</f>
        <v>8406585</v>
      </c>
    </row>
    <row r="59" customFormat="false" ht="15" hidden="false" customHeight="false" outlineLevel="0" collapsed="false">
      <c r="A59" s="2" t="s">
        <v>66</v>
      </c>
      <c r="B59" s="9" t="n">
        <v>1442301</v>
      </c>
      <c r="C59" s="2" t="s">
        <v>283</v>
      </c>
      <c r="D59" s="2" t="s">
        <v>446</v>
      </c>
      <c r="E59" s="2" t="s">
        <v>447</v>
      </c>
      <c r="F59" s="2" t="n">
        <v>1</v>
      </c>
      <c r="G59" s="2" t="n">
        <v>1</v>
      </c>
      <c r="H59" s="3" t="n">
        <v>4900</v>
      </c>
      <c r="I59" s="4" t="n">
        <v>1609.5</v>
      </c>
      <c r="J59" s="4" t="n">
        <f aca="false">H59*I59</f>
        <v>7886550</v>
      </c>
    </row>
    <row r="60" customFormat="false" ht="15" hidden="false" customHeight="false" outlineLevel="0" collapsed="false">
      <c r="A60" s="2" t="s">
        <v>66</v>
      </c>
      <c r="B60" s="9" t="n">
        <v>1442301</v>
      </c>
      <c r="C60" s="2" t="s">
        <v>293</v>
      </c>
      <c r="D60" s="2" t="s">
        <v>469</v>
      </c>
      <c r="E60" s="2" t="s">
        <v>447</v>
      </c>
      <c r="F60" s="10" t="n">
        <v>1</v>
      </c>
      <c r="G60" s="10" t="n">
        <v>2</v>
      </c>
      <c r="H60" s="11" t="n">
        <v>5850</v>
      </c>
      <c r="I60" s="12" t="n">
        <v>1292.5</v>
      </c>
      <c r="J60" s="12" t="n">
        <f aca="false">H60*I60</f>
        <v>7561125</v>
      </c>
    </row>
    <row r="61" customFormat="false" ht="15" hidden="false" customHeight="false" outlineLevel="0" collapsed="false">
      <c r="A61" s="2" t="s">
        <v>66</v>
      </c>
      <c r="B61" s="9" t="n">
        <v>1442301</v>
      </c>
      <c r="C61" s="2" t="s">
        <v>293</v>
      </c>
      <c r="D61" s="2" t="s">
        <v>469</v>
      </c>
      <c r="E61" s="2" t="s">
        <v>447</v>
      </c>
      <c r="F61" s="10" t="n">
        <v>2</v>
      </c>
      <c r="G61" s="10" t="n">
        <v>2</v>
      </c>
      <c r="H61" s="11" t="n">
        <v>1150</v>
      </c>
      <c r="I61" s="12" t="n">
        <v>1320</v>
      </c>
      <c r="J61" s="12" t="n">
        <f aca="false">H61*I61</f>
        <v>1518000</v>
      </c>
    </row>
    <row r="62" customFormat="false" ht="15" hidden="false" customHeight="false" outlineLevel="0" collapsed="false">
      <c r="A62" s="2" t="s">
        <v>66</v>
      </c>
      <c r="B62" s="9" t="n">
        <v>1442301</v>
      </c>
      <c r="C62" s="2" t="s">
        <v>470</v>
      </c>
      <c r="D62" s="2" t="s">
        <v>446</v>
      </c>
      <c r="E62" s="2" t="s">
        <v>471</v>
      </c>
      <c r="F62" s="2" t="n">
        <v>1</v>
      </c>
      <c r="G62" s="2" t="n">
        <v>1</v>
      </c>
      <c r="H62" s="3" t="n">
        <v>9600</v>
      </c>
      <c r="I62" s="4" t="n">
        <v>940.5</v>
      </c>
      <c r="J62" s="4" t="n">
        <f aca="false">H62*I62</f>
        <v>9028800</v>
      </c>
    </row>
    <row r="63" customFormat="false" ht="15" hidden="false" customHeight="false" outlineLevel="0" collapsed="false">
      <c r="A63" s="2" t="s">
        <v>66</v>
      </c>
      <c r="B63" s="9" t="n">
        <v>1442301</v>
      </c>
      <c r="C63" s="2" t="s">
        <v>313</v>
      </c>
      <c r="D63" s="2" t="s">
        <v>462</v>
      </c>
      <c r="E63" s="2" t="s">
        <v>447</v>
      </c>
      <c r="F63" s="2" t="n">
        <v>1</v>
      </c>
      <c r="G63" s="2" t="n">
        <v>1</v>
      </c>
      <c r="H63" s="3" t="n">
        <v>7300</v>
      </c>
      <c r="I63" s="4" t="n">
        <v>77</v>
      </c>
      <c r="J63" s="4" t="n">
        <f aca="false">H63*I63</f>
        <v>562100</v>
      </c>
    </row>
    <row r="64" customFormat="false" ht="15" hidden="false" customHeight="false" outlineLevel="0" collapsed="false">
      <c r="A64" s="2" t="s">
        <v>66</v>
      </c>
      <c r="B64" s="9" t="n">
        <v>1442301</v>
      </c>
      <c r="C64" s="2" t="s">
        <v>317</v>
      </c>
      <c r="D64" s="2" t="s">
        <v>472</v>
      </c>
      <c r="E64" s="2" t="s">
        <v>447</v>
      </c>
      <c r="F64" s="2" t="n">
        <v>1</v>
      </c>
      <c r="G64" s="2" t="n">
        <v>1</v>
      </c>
      <c r="H64" s="3" t="n">
        <v>21</v>
      </c>
      <c r="I64" s="4" t="n">
        <v>498168</v>
      </c>
      <c r="J64" s="4" t="n">
        <f aca="false">H64*I64</f>
        <v>10461528</v>
      </c>
    </row>
    <row r="65" customFormat="false" ht="15" hidden="false" customHeight="false" outlineLevel="0" collapsed="false">
      <c r="A65" s="2" t="s">
        <v>66</v>
      </c>
      <c r="B65" s="9" t="n">
        <v>1442301</v>
      </c>
      <c r="C65" s="2" t="s">
        <v>324</v>
      </c>
      <c r="D65" s="2" t="s">
        <v>453</v>
      </c>
      <c r="E65" s="2" t="s">
        <v>447</v>
      </c>
      <c r="F65" s="2" t="n">
        <v>1</v>
      </c>
      <c r="G65" s="2" t="n">
        <v>1</v>
      </c>
      <c r="H65" s="3" t="n">
        <v>800</v>
      </c>
      <c r="I65" s="4" t="n">
        <v>83.25</v>
      </c>
      <c r="J65" s="4" t="n">
        <f aca="false">H65*I65</f>
        <v>66600</v>
      </c>
    </row>
    <row r="66" customFormat="false" ht="15" hidden="false" customHeight="false" outlineLevel="0" collapsed="false">
      <c r="A66" s="2" t="s">
        <v>66</v>
      </c>
      <c r="B66" s="9" t="n">
        <v>1442301</v>
      </c>
      <c r="C66" s="2" t="s">
        <v>327</v>
      </c>
      <c r="D66" s="2" t="s">
        <v>456</v>
      </c>
      <c r="E66" s="2" t="s">
        <v>447</v>
      </c>
      <c r="F66" s="2" t="n">
        <v>1</v>
      </c>
      <c r="G66" s="2" t="n">
        <v>1</v>
      </c>
      <c r="H66" s="3" t="n">
        <v>400</v>
      </c>
      <c r="I66" s="4" t="n">
        <v>330</v>
      </c>
      <c r="J66" s="4" t="n">
        <f aca="false">H66*I66</f>
        <v>132000</v>
      </c>
    </row>
    <row r="67" customFormat="false" ht="15" hidden="false" customHeight="false" outlineLevel="0" collapsed="false">
      <c r="A67" s="2" t="s">
        <v>66</v>
      </c>
      <c r="B67" s="9" t="n">
        <v>1442301</v>
      </c>
      <c r="C67" s="2" t="s">
        <v>329</v>
      </c>
      <c r="D67" s="2" t="s">
        <v>473</v>
      </c>
      <c r="E67" s="2" t="s">
        <v>447</v>
      </c>
      <c r="F67" s="2" t="n">
        <v>1</v>
      </c>
      <c r="G67" s="2" t="n">
        <v>1</v>
      </c>
      <c r="H67" s="3" t="n">
        <v>1300</v>
      </c>
      <c r="I67" s="4" t="n">
        <v>157.62</v>
      </c>
      <c r="J67" s="4" t="n">
        <f aca="false">H67*I67</f>
        <v>204906</v>
      </c>
    </row>
    <row r="68" customFormat="false" ht="15" hidden="false" customHeight="false" outlineLevel="0" collapsed="false">
      <c r="A68" s="2" t="s">
        <v>66</v>
      </c>
      <c r="B68" s="9" t="n">
        <v>1442301</v>
      </c>
      <c r="C68" s="2" t="s">
        <v>474</v>
      </c>
      <c r="D68" s="2" t="s">
        <v>473</v>
      </c>
      <c r="E68" s="2" t="s">
        <v>471</v>
      </c>
      <c r="F68" s="2" t="n">
        <v>1</v>
      </c>
      <c r="G68" s="2" t="n">
        <v>1</v>
      </c>
      <c r="H68" s="3" t="n">
        <v>4500</v>
      </c>
      <c r="I68" s="4" t="n">
        <v>333</v>
      </c>
      <c r="J68" s="4" t="n">
        <f aca="false">H68*I68</f>
        <v>1498500</v>
      </c>
    </row>
    <row r="69" customFormat="false" ht="15" hidden="false" customHeight="false" outlineLevel="0" collapsed="false">
      <c r="A69" s="2" t="s">
        <v>66</v>
      </c>
      <c r="B69" s="9" t="n">
        <v>1442301</v>
      </c>
      <c r="C69" s="2" t="s">
        <v>331</v>
      </c>
      <c r="D69" s="2" t="s">
        <v>473</v>
      </c>
      <c r="E69" s="2" t="s">
        <v>447</v>
      </c>
      <c r="F69" s="2" t="n">
        <v>1</v>
      </c>
      <c r="G69" s="2" t="n">
        <v>1</v>
      </c>
      <c r="H69" s="3" t="n">
        <v>6100</v>
      </c>
      <c r="I69" s="4" t="n">
        <v>344.1</v>
      </c>
      <c r="J69" s="4" t="n">
        <f aca="false">H69*I69</f>
        <v>2099010</v>
      </c>
    </row>
    <row r="70" customFormat="false" ht="15" hidden="false" customHeight="false" outlineLevel="0" collapsed="false">
      <c r="A70" s="2" t="s">
        <v>66</v>
      </c>
      <c r="B70" s="9" t="n">
        <v>1442301</v>
      </c>
      <c r="C70" s="2" t="s">
        <v>333</v>
      </c>
      <c r="D70" s="2" t="s">
        <v>473</v>
      </c>
      <c r="E70" s="2" t="s">
        <v>447</v>
      </c>
      <c r="F70" s="2" t="n">
        <v>1</v>
      </c>
      <c r="G70" s="2" t="n">
        <v>1</v>
      </c>
      <c r="H70" s="3" t="n">
        <v>58300</v>
      </c>
      <c r="I70" s="4" t="n">
        <v>177.6</v>
      </c>
      <c r="J70" s="4" t="n">
        <f aca="false">H70*I70</f>
        <v>10354080</v>
      </c>
    </row>
    <row r="71" customFormat="false" ht="15" hidden="false" customHeight="false" outlineLevel="0" collapsed="false">
      <c r="A71" s="2" t="s">
        <v>66</v>
      </c>
      <c r="B71" s="9" t="n">
        <v>1442301</v>
      </c>
      <c r="C71" s="2" t="s">
        <v>337</v>
      </c>
      <c r="D71" s="2" t="s">
        <v>473</v>
      </c>
      <c r="E71" s="2" t="s">
        <v>447</v>
      </c>
      <c r="F71" s="2" t="n">
        <v>1</v>
      </c>
      <c r="G71" s="2" t="n">
        <v>1</v>
      </c>
      <c r="H71" s="3" t="n">
        <v>16000</v>
      </c>
      <c r="I71" s="4" t="n">
        <v>172.05</v>
      </c>
      <c r="J71" s="4" t="n">
        <f aca="false">H71*I71</f>
        <v>2752800</v>
      </c>
    </row>
    <row r="72" customFormat="false" ht="15" hidden="false" customHeight="false" outlineLevel="0" collapsed="false">
      <c r="A72" s="2" t="s">
        <v>66</v>
      </c>
      <c r="B72" s="9" t="n">
        <v>1442301</v>
      </c>
      <c r="C72" s="2" t="s">
        <v>339</v>
      </c>
      <c r="D72" s="2" t="s">
        <v>466</v>
      </c>
      <c r="E72" s="2" t="s">
        <v>447</v>
      </c>
      <c r="F72" s="2" t="n">
        <v>1</v>
      </c>
      <c r="G72" s="2" t="n">
        <v>1</v>
      </c>
      <c r="H72" s="3" t="n">
        <v>100</v>
      </c>
      <c r="I72" s="4" t="n">
        <v>6660</v>
      </c>
      <c r="J72" s="4" t="n">
        <f aca="false">H72*I72</f>
        <v>666000</v>
      </c>
    </row>
    <row r="73" customFormat="false" ht="15" hidden="false" customHeight="false" outlineLevel="0" collapsed="false">
      <c r="A73" s="2" t="s">
        <v>66</v>
      </c>
      <c r="B73" s="9" t="n">
        <v>1442301</v>
      </c>
      <c r="C73" s="2" t="s">
        <v>341</v>
      </c>
      <c r="D73" s="2" t="s">
        <v>473</v>
      </c>
      <c r="E73" s="2" t="s">
        <v>447</v>
      </c>
      <c r="F73" s="2" t="n">
        <v>1</v>
      </c>
      <c r="G73" s="2" t="n">
        <v>1</v>
      </c>
      <c r="H73" s="3" t="n">
        <v>300</v>
      </c>
      <c r="I73" s="4" t="n">
        <v>157.62</v>
      </c>
      <c r="J73" s="4" t="n">
        <f aca="false">H73*I73</f>
        <v>47286</v>
      </c>
    </row>
    <row r="74" customFormat="false" ht="15" hidden="false" customHeight="false" outlineLevel="0" collapsed="false">
      <c r="A74" s="2" t="s">
        <v>66</v>
      </c>
      <c r="B74" s="9" t="n">
        <v>1442301</v>
      </c>
      <c r="C74" s="2" t="s">
        <v>343</v>
      </c>
      <c r="D74" s="2" t="s">
        <v>462</v>
      </c>
      <c r="E74" s="2" t="s">
        <v>447</v>
      </c>
      <c r="F74" s="10" t="n">
        <v>1</v>
      </c>
      <c r="G74" s="10" t="n">
        <v>2</v>
      </c>
      <c r="H74" s="11" t="n">
        <v>1500</v>
      </c>
      <c r="I74" s="12" t="n">
        <v>321.9</v>
      </c>
      <c r="J74" s="12" t="n">
        <f aca="false">H74*I74</f>
        <v>482850</v>
      </c>
    </row>
    <row r="75" customFormat="false" ht="15" hidden="false" customHeight="false" outlineLevel="0" collapsed="false">
      <c r="A75" s="2" t="s">
        <v>66</v>
      </c>
      <c r="B75" s="9" t="n">
        <v>1442301</v>
      </c>
      <c r="C75" s="2" t="s">
        <v>343</v>
      </c>
      <c r="D75" s="2" t="s">
        <v>462</v>
      </c>
      <c r="E75" s="2" t="s">
        <v>447</v>
      </c>
      <c r="F75" s="10" t="n">
        <v>2</v>
      </c>
      <c r="G75" s="10" t="n">
        <v>2</v>
      </c>
      <c r="H75" s="11" t="n">
        <v>3300</v>
      </c>
      <c r="I75" s="12" t="n">
        <v>455.1</v>
      </c>
      <c r="J75" s="12" t="n">
        <f aca="false">H75*I75</f>
        <v>1501830</v>
      </c>
    </row>
    <row r="76" customFormat="false" ht="15" hidden="false" customHeight="false" outlineLevel="0" collapsed="false">
      <c r="A76" s="2" t="s">
        <v>66</v>
      </c>
      <c r="B76" s="9" t="n">
        <v>1442301</v>
      </c>
      <c r="C76" s="2" t="s">
        <v>345</v>
      </c>
      <c r="D76" s="2" t="s">
        <v>451</v>
      </c>
      <c r="E76" s="2" t="s">
        <v>447</v>
      </c>
      <c r="F76" s="2" t="n">
        <v>1</v>
      </c>
      <c r="G76" s="2" t="n">
        <v>1</v>
      </c>
      <c r="H76" s="3" t="n">
        <v>3400</v>
      </c>
      <c r="I76" s="4" t="n">
        <v>222</v>
      </c>
      <c r="J76" s="4" t="n">
        <f aca="false">H76*I76</f>
        <v>754800</v>
      </c>
    </row>
    <row r="77" customFormat="false" ht="15" hidden="false" customHeight="false" outlineLevel="0" collapsed="false">
      <c r="A77" s="2" t="s">
        <v>66</v>
      </c>
      <c r="B77" s="9" t="n">
        <v>1442301</v>
      </c>
      <c r="C77" s="2" t="s">
        <v>347</v>
      </c>
      <c r="D77" s="2" t="s">
        <v>468</v>
      </c>
      <c r="E77" s="2" t="s">
        <v>447</v>
      </c>
      <c r="F77" s="2" t="n">
        <v>1</v>
      </c>
      <c r="G77" s="2" t="n">
        <v>1</v>
      </c>
      <c r="H77" s="3" t="n">
        <v>3500</v>
      </c>
      <c r="I77" s="4" t="n">
        <v>444</v>
      </c>
      <c r="J77" s="4" t="n">
        <f aca="false">H77*I77</f>
        <v>1554000</v>
      </c>
    </row>
    <row r="78" customFormat="false" ht="15" hidden="false" customHeight="false" outlineLevel="0" collapsed="false">
      <c r="A78" s="2" t="s">
        <v>66</v>
      </c>
      <c r="B78" s="9" t="n">
        <v>1442301</v>
      </c>
      <c r="C78" s="2" t="s">
        <v>349</v>
      </c>
      <c r="D78" s="2" t="s">
        <v>475</v>
      </c>
      <c r="E78" s="2" t="s">
        <v>447</v>
      </c>
      <c r="F78" s="10" t="n">
        <v>1</v>
      </c>
      <c r="G78" s="10" t="n">
        <v>2</v>
      </c>
      <c r="H78" s="11" t="n">
        <v>150</v>
      </c>
      <c r="I78" s="12" t="n">
        <v>484</v>
      </c>
      <c r="J78" s="12" t="n">
        <f aca="false">H78*I78</f>
        <v>72600</v>
      </c>
    </row>
    <row r="79" customFormat="false" ht="15" hidden="false" customHeight="false" outlineLevel="0" collapsed="false">
      <c r="A79" s="2" t="s">
        <v>66</v>
      </c>
      <c r="B79" s="9" t="n">
        <v>1442301</v>
      </c>
      <c r="C79" s="2" t="s">
        <v>349</v>
      </c>
      <c r="D79" s="2" t="s">
        <v>475</v>
      </c>
      <c r="E79" s="2" t="s">
        <v>447</v>
      </c>
      <c r="F79" s="10" t="n">
        <v>2</v>
      </c>
      <c r="G79" s="10" t="n">
        <v>2</v>
      </c>
      <c r="H79" s="11" t="n">
        <v>2500</v>
      </c>
      <c r="I79" s="12" t="n">
        <v>521.7</v>
      </c>
      <c r="J79" s="12" t="n">
        <f aca="false">H79*I79</f>
        <v>1304250</v>
      </c>
    </row>
    <row r="80" customFormat="false" ht="15" hidden="false" customHeight="false" outlineLevel="0" collapsed="false">
      <c r="A80" s="2" t="s">
        <v>66</v>
      </c>
      <c r="B80" s="9" t="n">
        <v>1442301</v>
      </c>
      <c r="C80" s="2" t="s">
        <v>398</v>
      </c>
      <c r="D80" s="2" t="s">
        <v>462</v>
      </c>
      <c r="E80" s="2" t="s">
        <v>447</v>
      </c>
      <c r="F80" s="2" t="n">
        <v>1</v>
      </c>
      <c r="G80" s="2" t="n">
        <v>1</v>
      </c>
      <c r="H80" s="3" t="n">
        <v>200</v>
      </c>
      <c r="I80" s="4" t="n">
        <v>334.4</v>
      </c>
      <c r="J80" s="4" t="n">
        <f aca="false">H80*I80</f>
        <v>66880</v>
      </c>
    </row>
    <row r="81" customFormat="false" ht="15" hidden="false" customHeight="false" outlineLevel="0" collapsed="false">
      <c r="A81" s="2" t="s">
        <v>66</v>
      </c>
      <c r="B81" s="9" t="n">
        <v>1442301</v>
      </c>
      <c r="C81" s="2" t="s">
        <v>400</v>
      </c>
      <c r="D81" s="2" t="s">
        <v>476</v>
      </c>
      <c r="E81" s="2" t="s">
        <v>447</v>
      </c>
      <c r="F81" s="2" t="n">
        <v>1</v>
      </c>
      <c r="G81" s="2" t="n">
        <v>1</v>
      </c>
      <c r="H81" s="3" t="n">
        <v>700</v>
      </c>
      <c r="I81" s="4" t="n">
        <v>324.5</v>
      </c>
      <c r="J81" s="4" t="n">
        <f aca="false">H81*I81</f>
        <v>227150</v>
      </c>
    </row>
    <row r="82" customFormat="false" ht="15" hidden="false" customHeight="false" outlineLevel="0" collapsed="false">
      <c r="A82" s="2" t="s">
        <v>66</v>
      </c>
      <c r="B82" s="9" t="n">
        <v>1442301</v>
      </c>
      <c r="C82" s="2" t="s">
        <v>477</v>
      </c>
      <c r="D82" s="2" t="s">
        <v>478</v>
      </c>
      <c r="E82" s="2" t="s">
        <v>471</v>
      </c>
      <c r="F82" s="2" t="n">
        <v>1</v>
      </c>
      <c r="G82" s="2" t="n">
        <v>1</v>
      </c>
      <c r="H82" s="3" t="n">
        <v>200</v>
      </c>
      <c r="I82" s="4" t="n">
        <v>440</v>
      </c>
      <c r="J82" s="4" t="n">
        <f aca="false">H82*I82</f>
        <v>88000</v>
      </c>
    </row>
    <row r="83" customFormat="false" ht="15" hidden="false" customHeight="false" outlineLevel="0" collapsed="false">
      <c r="A83" s="2" t="s">
        <v>66</v>
      </c>
      <c r="B83" s="9" t="n">
        <v>1442301</v>
      </c>
      <c r="C83" s="2" t="s">
        <v>402</v>
      </c>
      <c r="D83" s="2" t="s">
        <v>451</v>
      </c>
      <c r="E83" s="2" t="s">
        <v>447</v>
      </c>
      <c r="F83" s="2" t="n">
        <v>1</v>
      </c>
      <c r="G83" s="2" t="n">
        <v>1</v>
      </c>
      <c r="H83" s="3" t="n">
        <v>100</v>
      </c>
      <c r="I83" s="4" t="n">
        <v>225.5</v>
      </c>
      <c r="J83" s="4" t="n">
        <f aca="false">H83*I83</f>
        <v>22550</v>
      </c>
    </row>
    <row r="84" customFormat="false" ht="15" hidden="false" customHeight="false" outlineLevel="0" collapsed="false">
      <c r="A84" s="2" t="s">
        <v>66</v>
      </c>
      <c r="B84" s="9" t="n">
        <v>1442301</v>
      </c>
      <c r="C84" s="2" t="s">
        <v>404</v>
      </c>
      <c r="D84" s="2" t="s">
        <v>446</v>
      </c>
      <c r="E84" s="2" t="s">
        <v>447</v>
      </c>
      <c r="F84" s="2" t="n">
        <v>1</v>
      </c>
      <c r="G84" s="2" t="n">
        <v>1</v>
      </c>
      <c r="H84" s="3" t="n">
        <v>800</v>
      </c>
      <c r="I84" s="4" t="n">
        <v>385</v>
      </c>
      <c r="J84" s="4" t="n">
        <f aca="false">H84*I84</f>
        <v>308000</v>
      </c>
    </row>
    <row r="85" customFormat="false" ht="15" hidden="false" customHeight="false" outlineLevel="0" collapsed="false">
      <c r="A85" s="2" t="s">
        <v>66</v>
      </c>
      <c r="B85" s="9" t="n">
        <v>1442301</v>
      </c>
      <c r="C85" s="2" t="s">
        <v>406</v>
      </c>
      <c r="D85" s="2" t="s">
        <v>446</v>
      </c>
      <c r="E85" s="2" t="s">
        <v>447</v>
      </c>
      <c r="F85" s="2" t="n">
        <v>1</v>
      </c>
      <c r="G85" s="2" t="n">
        <v>1</v>
      </c>
      <c r="H85" s="3" t="n">
        <v>700</v>
      </c>
      <c r="I85" s="4" t="n">
        <v>385</v>
      </c>
      <c r="J85" s="4" t="n">
        <f aca="false">H85*I85</f>
        <v>269500</v>
      </c>
    </row>
    <row r="86" customFormat="false" ht="15" hidden="false" customHeight="false" outlineLevel="0" collapsed="false">
      <c r="A86" s="2" t="s">
        <v>66</v>
      </c>
      <c r="B86" s="9" t="n">
        <v>1442301</v>
      </c>
      <c r="C86" s="2" t="s">
        <v>408</v>
      </c>
      <c r="D86" s="2" t="s">
        <v>462</v>
      </c>
      <c r="E86" s="2" t="s">
        <v>447</v>
      </c>
      <c r="F86" s="2" t="n">
        <v>1</v>
      </c>
      <c r="G86" s="2" t="n">
        <v>1</v>
      </c>
      <c r="H86" s="3" t="n">
        <v>50</v>
      </c>
      <c r="I86" s="4" t="n">
        <v>850.26</v>
      </c>
      <c r="J86" s="4" t="n">
        <f aca="false">H86*I86</f>
        <v>42513</v>
      </c>
    </row>
    <row r="87" customFormat="false" ht="15" hidden="false" customHeight="false" outlineLevel="0" collapsed="false">
      <c r="A87" s="2" t="s">
        <v>66</v>
      </c>
      <c r="B87" s="9" t="n">
        <v>1442301</v>
      </c>
      <c r="C87" s="2" t="s">
        <v>410</v>
      </c>
      <c r="D87" s="2" t="s">
        <v>479</v>
      </c>
      <c r="E87" s="2" t="s">
        <v>447</v>
      </c>
      <c r="F87" s="2" t="n">
        <v>1</v>
      </c>
      <c r="G87" s="2" t="n">
        <v>1</v>
      </c>
      <c r="H87" s="3" t="n">
        <v>3950</v>
      </c>
      <c r="I87" s="4" t="n">
        <v>2640</v>
      </c>
      <c r="J87" s="4" t="n">
        <f aca="false">H87*I87</f>
        <v>10428000</v>
      </c>
    </row>
    <row r="88" customFormat="false" ht="15" hidden="false" customHeight="false" outlineLevel="0" collapsed="false">
      <c r="A88" s="2" t="s">
        <v>66</v>
      </c>
      <c r="B88" s="9" t="n">
        <v>1442301</v>
      </c>
      <c r="C88" s="2" t="s">
        <v>413</v>
      </c>
      <c r="D88" s="2" t="s">
        <v>456</v>
      </c>
      <c r="E88" s="2" t="s">
        <v>447</v>
      </c>
      <c r="F88" s="2" t="n">
        <v>1</v>
      </c>
      <c r="G88" s="2" t="n">
        <v>1</v>
      </c>
      <c r="H88" s="3" t="n">
        <v>16250</v>
      </c>
      <c r="I88" s="4" t="n">
        <v>72.15</v>
      </c>
      <c r="J88" s="4" t="n">
        <f aca="false">H88*I88</f>
        <v>1172437.5</v>
      </c>
    </row>
    <row r="89" customFormat="false" ht="15" hidden="false" customHeight="false" outlineLevel="0" collapsed="false">
      <c r="A89" s="2" t="s">
        <v>66</v>
      </c>
      <c r="B89" s="9" t="n">
        <v>1442301</v>
      </c>
      <c r="C89" s="2" t="s">
        <v>415</v>
      </c>
      <c r="D89" s="2" t="s">
        <v>456</v>
      </c>
      <c r="E89" s="2" t="s">
        <v>447</v>
      </c>
      <c r="F89" s="10" t="n">
        <v>1</v>
      </c>
      <c r="G89" s="10" t="n">
        <v>2</v>
      </c>
      <c r="H89" s="11" t="n">
        <v>70000</v>
      </c>
      <c r="I89" s="12" t="n">
        <v>92.13</v>
      </c>
      <c r="J89" s="12" t="n">
        <f aca="false">H89*I89</f>
        <v>6449100</v>
      </c>
    </row>
    <row r="90" customFormat="false" ht="15" hidden="false" customHeight="false" outlineLevel="0" collapsed="false">
      <c r="A90" s="2" t="s">
        <v>66</v>
      </c>
      <c r="B90" s="9" t="n">
        <v>1442301</v>
      </c>
      <c r="C90" s="2" t="s">
        <v>415</v>
      </c>
      <c r="D90" s="2" t="s">
        <v>456</v>
      </c>
      <c r="E90" s="2" t="s">
        <v>447</v>
      </c>
      <c r="F90" s="10" t="n">
        <v>2</v>
      </c>
      <c r="G90" s="10" t="n">
        <v>2</v>
      </c>
      <c r="H90" s="11" t="n">
        <v>1250</v>
      </c>
      <c r="I90" s="12" t="n">
        <v>97.68</v>
      </c>
      <c r="J90" s="12" t="n">
        <f aca="false">H90*I90</f>
        <v>122100</v>
      </c>
    </row>
    <row r="91" customFormat="false" ht="15" hidden="false" customHeight="false" outlineLevel="0" collapsed="false">
      <c r="A91" s="2" t="s">
        <v>66</v>
      </c>
      <c r="B91" s="9" t="n">
        <v>1442301</v>
      </c>
      <c r="C91" s="2" t="s">
        <v>417</v>
      </c>
      <c r="D91" s="2" t="s">
        <v>451</v>
      </c>
      <c r="E91" s="2" t="s">
        <v>447</v>
      </c>
      <c r="F91" s="2" t="n">
        <v>1</v>
      </c>
      <c r="G91" s="2" t="n">
        <v>1</v>
      </c>
      <c r="H91" s="3" t="n">
        <v>2300</v>
      </c>
      <c r="I91" s="4" t="n">
        <v>176</v>
      </c>
      <c r="J91" s="4" t="n">
        <f aca="false">H91*I91</f>
        <v>404800</v>
      </c>
    </row>
    <row r="92" customFormat="false" ht="15" hidden="false" customHeight="false" outlineLevel="0" collapsed="false">
      <c r="A92" s="2" t="s">
        <v>66</v>
      </c>
      <c r="B92" s="9" t="n">
        <v>1442301</v>
      </c>
      <c r="C92" s="2" t="s">
        <v>419</v>
      </c>
      <c r="D92" s="2" t="s">
        <v>462</v>
      </c>
      <c r="E92" s="2" t="s">
        <v>447</v>
      </c>
      <c r="F92" s="2" t="n">
        <v>1</v>
      </c>
      <c r="G92" s="2" t="n">
        <v>1</v>
      </c>
      <c r="H92" s="3" t="n">
        <v>2700</v>
      </c>
      <c r="I92" s="4" t="n">
        <v>440</v>
      </c>
      <c r="J92" s="4" t="n">
        <f aca="false">H92*I92</f>
        <v>1188000</v>
      </c>
    </row>
    <row r="93" customFormat="false" ht="15" hidden="false" customHeight="false" outlineLevel="0" collapsed="false">
      <c r="A93" s="2" t="s">
        <v>66</v>
      </c>
      <c r="B93" s="9" t="n">
        <v>1442301</v>
      </c>
      <c r="C93" s="2" t="s">
        <v>421</v>
      </c>
      <c r="D93" s="2" t="s">
        <v>480</v>
      </c>
      <c r="E93" s="2" t="s">
        <v>447</v>
      </c>
      <c r="F93" s="2" t="n">
        <v>1</v>
      </c>
      <c r="G93" s="2" t="n">
        <v>1</v>
      </c>
      <c r="H93" s="3" t="n">
        <v>30</v>
      </c>
      <c r="I93" s="4" t="n">
        <v>97000</v>
      </c>
      <c r="J93" s="4" t="n">
        <f aca="false">H93*I93</f>
        <v>2910000</v>
      </c>
    </row>
    <row r="94" customFormat="false" ht="15" hidden="false" customHeight="false" outlineLevel="0" collapsed="false">
      <c r="A94" s="2" t="s">
        <v>66</v>
      </c>
      <c r="B94" s="9" t="n">
        <v>1442301</v>
      </c>
      <c r="C94" s="2" t="s">
        <v>425</v>
      </c>
      <c r="D94" s="2" t="s">
        <v>481</v>
      </c>
      <c r="E94" s="2" t="s">
        <v>447</v>
      </c>
      <c r="F94" s="2" t="n">
        <v>1</v>
      </c>
      <c r="G94" s="2" t="n">
        <v>1</v>
      </c>
      <c r="H94" s="3" t="n">
        <v>7300</v>
      </c>
      <c r="I94" s="4" t="n">
        <v>555</v>
      </c>
      <c r="J94" s="4" t="n">
        <f aca="false">H94*I94</f>
        <v>4051500</v>
      </c>
    </row>
    <row r="95" customFormat="false" ht="15" hidden="false" customHeight="false" outlineLevel="0" collapsed="false">
      <c r="A95" s="2" t="s">
        <v>66</v>
      </c>
      <c r="B95" s="9" t="n">
        <v>1442301</v>
      </c>
      <c r="C95" s="2" t="s">
        <v>427</v>
      </c>
      <c r="D95" s="2" t="s">
        <v>481</v>
      </c>
      <c r="E95" s="2" t="s">
        <v>447</v>
      </c>
      <c r="F95" s="2" t="n">
        <v>1</v>
      </c>
      <c r="G95" s="2" t="n">
        <v>1</v>
      </c>
      <c r="H95" s="3" t="n">
        <v>3200</v>
      </c>
      <c r="I95" s="4" t="n">
        <v>610.5</v>
      </c>
      <c r="J95" s="4" t="n">
        <f aca="false">H95*I95</f>
        <v>1953600</v>
      </c>
    </row>
    <row r="96" customFormat="false" ht="15" hidden="false" customHeight="false" outlineLevel="0" collapsed="false">
      <c r="A96" s="2" t="s">
        <v>66</v>
      </c>
      <c r="B96" s="9" t="n">
        <v>1442301</v>
      </c>
      <c r="C96" s="2" t="s">
        <v>429</v>
      </c>
      <c r="D96" s="2" t="s">
        <v>456</v>
      </c>
      <c r="E96" s="2" t="s">
        <v>447</v>
      </c>
      <c r="F96" s="2" t="n">
        <v>1</v>
      </c>
      <c r="G96" s="2" t="n">
        <v>1</v>
      </c>
      <c r="H96" s="3" t="n">
        <v>1400</v>
      </c>
      <c r="I96" s="4" t="n">
        <v>203.5</v>
      </c>
      <c r="J96" s="4" t="n">
        <f aca="false">H96*I96</f>
        <v>284900</v>
      </c>
    </row>
    <row r="97" customFormat="false" ht="15" hidden="false" customHeight="false" outlineLevel="0" collapsed="false">
      <c r="A97" s="2" t="s">
        <v>66</v>
      </c>
      <c r="B97" s="9" t="n">
        <v>1442301</v>
      </c>
      <c r="C97" s="2" t="s">
        <v>431</v>
      </c>
      <c r="D97" s="2" t="s">
        <v>432</v>
      </c>
      <c r="E97" s="2" t="s">
        <v>447</v>
      </c>
      <c r="F97" s="2" t="n">
        <v>1</v>
      </c>
      <c r="G97" s="2" t="n">
        <v>1</v>
      </c>
      <c r="H97" s="3" t="n">
        <v>2800</v>
      </c>
      <c r="I97" s="4" t="n">
        <v>294.15</v>
      </c>
      <c r="J97" s="4" t="n">
        <f aca="false">H97*I97</f>
        <v>823620</v>
      </c>
    </row>
    <row r="98" customFormat="false" ht="15" hidden="false" customHeight="false" outlineLevel="0" collapsed="false">
      <c r="A98" s="2" t="s">
        <v>66</v>
      </c>
      <c r="B98" s="9" t="n">
        <v>1442301</v>
      </c>
      <c r="C98" s="2" t="s">
        <v>433</v>
      </c>
      <c r="D98" s="2" t="s">
        <v>451</v>
      </c>
      <c r="E98" s="2" t="s">
        <v>447</v>
      </c>
      <c r="F98" s="2" t="n">
        <v>1</v>
      </c>
      <c r="G98" s="2" t="n">
        <v>1</v>
      </c>
      <c r="H98" s="3" t="n">
        <v>600</v>
      </c>
      <c r="I98" s="4" t="n">
        <v>244.2</v>
      </c>
      <c r="J98" s="4" t="n">
        <f aca="false">H98*I98</f>
        <v>146520</v>
      </c>
    </row>
    <row r="99" customFormat="false" ht="15" hidden="false" customHeight="false" outlineLevel="0" collapsed="false">
      <c r="A99" s="2" t="s">
        <v>311</v>
      </c>
      <c r="B99" s="9" t="n">
        <v>1442103</v>
      </c>
      <c r="C99" s="2" t="s">
        <v>309</v>
      </c>
      <c r="D99" s="2" t="s">
        <v>482</v>
      </c>
      <c r="E99" s="2" t="s">
        <v>447</v>
      </c>
      <c r="F99" s="2" t="n">
        <v>1</v>
      </c>
      <c r="G99" s="2" t="n">
        <v>1</v>
      </c>
      <c r="H99" s="3" t="n">
        <v>6750</v>
      </c>
      <c r="I99" s="4" t="n">
        <v>1803.75</v>
      </c>
      <c r="J99" s="4" t="n">
        <f aca="false">H99*I99</f>
        <v>12175312.5</v>
      </c>
    </row>
    <row r="100" customFormat="false" ht="15" hidden="false" customHeight="false" outlineLevel="0" collapsed="false">
      <c r="A100" s="2" t="s">
        <v>483</v>
      </c>
      <c r="B100" s="9" t="n">
        <v>1442304</v>
      </c>
      <c r="C100" s="2" t="s">
        <v>484</v>
      </c>
      <c r="D100" s="2" t="s">
        <v>485</v>
      </c>
      <c r="E100" s="2" t="s">
        <v>471</v>
      </c>
      <c r="F100" s="2" t="n">
        <v>1</v>
      </c>
      <c r="G100" s="2" t="n">
        <v>1</v>
      </c>
      <c r="H100" s="3" t="n">
        <v>13</v>
      </c>
      <c r="I100" s="4" t="n">
        <v>77000</v>
      </c>
      <c r="J100" s="4" t="n">
        <f aca="false">H100*I100</f>
        <v>1001000</v>
      </c>
    </row>
    <row r="101" customFormat="false" ht="15" hidden="false" customHeight="false" outlineLevel="0" collapsed="false">
      <c r="A101" s="2" t="s">
        <v>483</v>
      </c>
      <c r="B101" s="9" t="n">
        <v>1442304</v>
      </c>
      <c r="C101" s="2" t="s">
        <v>486</v>
      </c>
      <c r="D101" s="2" t="s">
        <v>485</v>
      </c>
      <c r="E101" s="2" t="s">
        <v>471</v>
      </c>
      <c r="F101" s="2" t="n">
        <v>1</v>
      </c>
      <c r="G101" s="2" t="n">
        <v>1</v>
      </c>
      <c r="H101" s="3" t="n">
        <v>4</v>
      </c>
      <c r="I101" s="4" t="n">
        <v>168500</v>
      </c>
      <c r="J101" s="4" t="n">
        <f aca="false">H101*I101</f>
        <v>674000</v>
      </c>
    </row>
    <row r="102" customFormat="false" ht="15" hidden="false" customHeight="false" outlineLevel="0" collapsed="false">
      <c r="A102" s="2" t="s">
        <v>483</v>
      </c>
      <c r="B102" s="9" t="n">
        <v>1442304</v>
      </c>
      <c r="C102" s="2" t="s">
        <v>487</v>
      </c>
      <c r="D102" s="2" t="s">
        <v>488</v>
      </c>
      <c r="E102" s="2" t="s">
        <v>471</v>
      </c>
      <c r="F102" s="2" t="n">
        <v>1</v>
      </c>
      <c r="G102" s="2" t="n">
        <v>1</v>
      </c>
      <c r="H102" s="3" t="n">
        <v>10</v>
      </c>
      <c r="I102" s="4" t="n">
        <v>244200</v>
      </c>
      <c r="J102" s="4" t="n">
        <f aca="false">H102*I102</f>
        <v>2442000</v>
      </c>
    </row>
    <row r="103" customFormat="false" ht="15" hidden="false" customHeight="false" outlineLevel="0" collapsed="false">
      <c r="A103" s="2" t="s">
        <v>483</v>
      </c>
      <c r="B103" s="9" t="n">
        <v>1442304</v>
      </c>
      <c r="C103" s="2" t="s">
        <v>489</v>
      </c>
      <c r="D103" s="2" t="s">
        <v>490</v>
      </c>
      <c r="E103" s="2" t="s">
        <v>471</v>
      </c>
      <c r="F103" s="2" t="n">
        <v>1</v>
      </c>
      <c r="G103" s="2" t="n">
        <v>1</v>
      </c>
      <c r="H103" s="3" t="n">
        <v>100</v>
      </c>
      <c r="I103" s="4" t="n">
        <v>130000</v>
      </c>
      <c r="J103" s="4" t="n">
        <f aca="false">H103*I103</f>
        <v>13000000</v>
      </c>
    </row>
    <row r="104" customFormat="false" ht="15" hidden="false" customHeight="false" outlineLevel="0" collapsed="false">
      <c r="A104" s="2" t="s">
        <v>483</v>
      </c>
      <c r="B104" s="9" t="n">
        <v>1442304</v>
      </c>
      <c r="C104" s="2" t="s">
        <v>491</v>
      </c>
      <c r="D104" s="2" t="s">
        <v>492</v>
      </c>
      <c r="E104" s="2" t="s">
        <v>471</v>
      </c>
      <c r="F104" s="2" t="n">
        <v>1</v>
      </c>
      <c r="G104" s="2" t="n">
        <v>1</v>
      </c>
      <c r="H104" s="3" t="n">
        <v>25</v>
      </c>
      <c r="I104" s="4" t="n">
        <v>505050</v>
      </c>
      <c r="J104" s="4" t="n">
        <f aca="false">H104*I104</f>
        <v>12626250</v>
      </c>
    </row>
    <row r="105" customFormat="false" ht="15" hidden="false" customHeight="false" outlineLevel="0" collapsed="false">
      <c r="A105" s="2" t="s">
        <v>483</v>
      </c>
      <c r="B105" s="9" t="n">
        <v>1442304</v>
      </c>
      <c r="C105" s="2" t="s">
        <v>493</v>
      </c>
      <c r="D105" s="2" t="s">
        <v>494</v>
      </c>
      <c r="E105" s="2" t="s">
        <v>471</v>
      </c>
      <c r="F105" s="2" t="n">
        <v>1</v>
      </c>
      <c r="G105" s="2" t="n">
        <v>1</v>
      </c>
      <c r="H105" s="3" t="n">
        <v>2</v>
      </c>
      <c r="I105" s="4" t="n">
        <v>325000</v>
      </c>
      <c r="J105" s="4" t="n">
        <f aca="false">H105*I105</f>
        <v>650000</v>
      </c>
    </row>
    <row r="106" customFormat="false" ht="15" hidden="false" customHeight="false" outlineLevel="0" collapsed="false">
      <c r="A106" s="2" t="s">
        <v>353</v>
      </c>
      <c r="B106" s="9" t="n">
        <v>1442303</v>
      </c>
      <c r="C106" s="2" t="s">
        <v>351</v>
      </c>
      <c r="D106" s="2" t="s">
        <v>495</v>
      </c>
      <c r="E106" s="2" t="s">
        <v>447</v>
      </c>
      <c r="F106" s="2" t="n">
        <v>1</v>
      </c>
      <c r="G106" s="2" t="n">
        <v>1</v>
      </c>
      <c r="H106" s="3" t="n">
        <v>1354</v>
      </c>
      <c r="I106" s="4" t="n">
        <v>6549</v>
      </c>
      <c r="J106" s="4" t="n">
        <f aca="false">H106*I106</f>
        <v>8867346</v>
      </c>
    </row>
    <row r="107" customFormat="false" ht="15" hidden="false" customHeight="false" outlineLevel="0" collapsed="false">
      <c r="A107" s="2" t="s">
        <v>353</v>
      </c>
      <c r="B107" s="9" t="n">
        <v>1442303</v>
      </c>
      <c r="C107" s="2" t="s">
        <v>496</v>
      </c>
      <c r="D107" s="2" t="s">
        <v>497</v>
      </c>
      <c r="E107" s="2" t="s">
        <v>471</v>
      </c>
      <c r="F107" s="2" t="n">
        <v>1</v>
      </c>
      <c r="G107" s="2" t="n">
        <v>1</v>
      </c>
      <c r="H107" s="3" t="n">
        <v>925</v>
      </c>
      <c r="I107" s="4" t="n">
        <v>9768</v>
      </c>
      <c r="J107" s="4" t="n">
        <f aca="false">H107*I107</f>
        <v>9035400</v>
      </c>
    </row>
    <row r="108" customFormat="false" ht="15" hidden="false" customHeight="false" outlineLevel="0" collapsed="false">
      <c r="A108" s="2" t="s">
        <v>353</v>
      </c>
      <c r="B108" s="9" t="n">
        <v>1442303</v>
      </c>
      <c r="C108" s="2" t="s">
        <v>355</v>
      </c>
      <c r="D108" s="2" t="s">
        <v>498</v>
      </c>
      <c r="E108" s="2" t="s">
        <v>447</v>
      </c>
      <c r="F108" s="2" t="n">
        <v>1</v>
      </c>
      <c r="G108" s="2" t="n">
        <v>1</v>
      </c>
      <c r="H108" s="3" t="n">
        <v>1364</v>
      </c>
      <c r="I108" s="4" t="n">
        <v>4662</v>
      </c>
      <c r="J108" s="4" t="n">
        <f aca="false">H108*I108</f>
        <v>6358968</v>
      </c>
    </row>
    <row r="109" customFormat="false" ht="15" hidden="false" customHeight="false" outlineLevel="0" collapsed="false">
      <c r="A109" s="2" t="s">
        <v>353</v>
      </c>
      <c r="B109" s="9" t="n">
        <v>1442303</v>
      </c>
      <c r="C109" s="2" t="s">
        <v>357</v>
      </c>
      <c r="D109" s="2" t="s">
        <v>499</v>
      </c>
      <c r="E109" s="2" t="s">
        <v>447</v>
      </c>
      <c r="F109" s="2" t="n">
        <v>1</v>
      </c>
      <c r="G109" s="2" t="n">
        <v>1</v>
      </c>
      <c r="H109" s="3" t="n">
        <v>43</v>
      </c>
      <c r="I109" s="4" t="n">
        <v>122900</v>
      </c>
      <c r="J109" s="4" t="n">
        <f aca="false">H109*I109</f>
        <v>5284700</v>
      </c>
    </row>
    <row r="110" customFormat="false" ht="15" hidden="false" customHeight="false" outlineLevel="0" collapsed="false">
      <c r="A110" s="2" t="s">
        <v>353</v>
      </c>
      <c r="B110" s="9" t="n">
        <v>1442303</v>
      </c>
      <c r="C110" s="2" t="s">
        <v>360</v>
      </c>
      <c r="D110" s="2" t="s">
        <v>500</v>
      </c>
      <c r="E110" s="2" t="s">
        <v>447</v>
      </c>
      <c r="F110" s="2" t="n">
        <v>1</v>
      </c>
      <c r="G110" s="2" t="n">
        <v>1</v>
      </c>
      <c r="H110" s="3" t="n">
        <v>193</v>
      </c>
      <c r="I110" s="4" t="n">
        <v>9435</v>
      </c>
      <c r="J110" s="4" t="n">
        <f aca="false">H110*I110</f>
        <v>1820955</v>
      </c>
    </row>
    <row r="111" customFormat="false" ht="15" hidden="false" customHeight="false" outlineLevel="0" collapsed="false">
      <c r="A111" s="2" t="s">
        <v>353</v>
      </c>
      <c r="B111" s="9" t="n">
        <v>1442303</v>
      </c>
      <c r="C111" s="2" t="s">
        <v>362</v>
      </c>
      <c r="D111" s="2" t="s">
        <v>501</v>
      </c>
      <c r="E111" s="2" t="s">
        <v>447</v>
      </c>
      <c r="F111" s="2" t="n">
        <v>1</v>
      </c>
      <c r="G111" s="2" t="n">
        <v>1</v>
      </c>
      <c r="H111" s="3" t="n">
        <v>34</v>
      </c>
      <c r="I111" s="4" t="n">
        <v>77000</v>
      </c>
      <c r="J111" s="4" t="n">
        <f aca="false">H111*I111</f>
        <v>2618000</v>
      </c>
    </row>
    <row r="112" customFormat="false" ht="15" hidden="false" customHeight="false" outlineLevel="0" collapsed="false">
      <c r="A112" s="2" t="s">
        <v>353</v>
      </c>
      <c r="B112" s="9" t="n">
        <v>1442303</v>
      </c>
      <c r="C112" s="2" t="s">
        <v>502</v>
      </c>
      <c r="D112" s="2" t="s">
        <v>503</v>
      </c>
      <c r="E112" s="2" t="s">
        <v>471</v>
      </c>
      <c r="F112" s="10" t="n">
        <v>1</v>
      </c>
      <c r="G112" s="10" t="n">
        <v>2</v>
      </c>
      <c r="H112" s="11" t="n">
        <v>620</v>
      </c>
      <c r="I112" s="12" t="n">
        <v>49999.95</v>
      </c>
      <c r="J112" s="12" t="n">
        <f aca="false">H112*I112</f>
        <v>30999969</v>
      </c>
    </row>
    <row r="113" customFormat="false" ht="15" hidden="false" customHeight="false" outlineLevel="0" collapsed="false">
      <c r="A113" s="2" t="s">
        <v>353</v>
      </c>
      <c r="B113" s="9" t="n">
        <v>1442303</v>
      </c>
      <c r="C113" s="2" t="s">
        <v>502</v>
      </c>
      <c r="D113" s="2" t="s">
        <v>503</v>
      </c>
      <c r="E113" s="2" t="s">
        <v>471</v>
      </c>
      <c r="F113" s="10" t="n">
        <v>2</v>
      </c>
      <c r="G113" s="10" t="n">
        <v>2</v>
      </c>
      <c r="H113" s="11" t="n">
        <v>2</v>
      </c>
      <c r="I113" s="12" t="n">
        <v>66760</v>
      </c>
      <c r="J113" s="12" t="n">
        <f aca="false">H113*I113</f>
        <v>133520</v>
      </c>
    </row>
    <row r="114" customFormat="false" ht="15" hidden="false" customHeight="false" outlineLevel="0" collapsed="false">
      <c r="A114" s="2" t="s">
        <v>353</v>
      </c>
      <c r="B114" s="9" t="n">
        <v>1442303</v>
      </c>
      <c r="C114" s="2" t="s">
        <v>364</v>
      </c>
      <c r="D114" s="2" t="s">
        <v>504</v>
      </c>
      <c r="E114" s="2" t="s">
        <v>447</v>
      </c>
      <c r="F114" s="2" t="n">
        <v>1</v>
      </c>
      <c r="G114" s="2" t="n">
        <v>1</v>
      </c>
      <c r="H114" s="3" t="n">
        <v>2</v>
      </c>
      <c r="I114" s="4" t="n">
        <v>199134</v>
      </c>
      <c r="J114" s="4" t="n">
        <f aca="false">H114*I114</f>
        <v>398268</v>
      </c>
    </row>
    <row r="115" customFormat="false" ht="15" hidden="false" customHeight="false" outlineLevel="0" collapsed="false">
      <c r="A115" s="2" t="s">
        <v>353</v>
      </c>
      <c r="B115" s="9" t="n">
        <v>1442303</v>
      </c>
      <c r="C115" s="2" t="s">
        <v>366</v>
      </c>
      <c r="D115" s="2" t="s">
        <v>505</v>
      </c>
      <c r="E115" s="2" t="s">
        <v>447</v>
      </c>
      <c r="F115" s="2" t="n">
        <v>1</v>
      </c>
      <c r="G115" s="2" t="n">
        <v>1</v>
      </c>
      <c r="H115" s="3" t="n">
        <v>98</v>
      </c>
      <c r="I115" s="4" t="n">
        <v>200000</v>
      </c>
      <c r="J115" s="4" t="n">
        <f aca="false">H115*I115</f>
        <v>19600000</v>
      </c>
    </row>
    <row r="116" customFormat="false" ht="15" hidden="false" customHeight="false" outlineLevel="0" collapsed="false">
      <c r="A116" s="2" t="s">
        <v>353</v>
      </c>
      <c r="B116" s="9" t="n">
        <v>1442303</v>
      </c>
      <c r="C116" s="2" t="s">
        <v>368</v>
      </c>
      <c r="D116" s="2" t="s">
        <v>506</v>
      </c>
      <c r="E116" s="2" t="s">
        <v>447</v>
      </c>
      <c r="F116" s="2" t="n">
        <v>1</v>
      </c>
      <c r="G116" s="2" t="n">
        <v>1</v>
      </c>
      <c r="H116" s="3" t="n">
        <v>336</v>
      </c>
      <c r="I116" s="4" t="n">
        <v>44400</v>
      </c>
      <c r="J116" s="4" t="n">
        <f aca="false">H116*I116</f>
        <v>14918400</v>
      </c>
    </row>
    <row r="117" customFormat="false" ht="15" hidden="false" customHeight="false" outlineLevel="0" collapsed="false">
      <c r="A117" s="2" t="s">
        <v>353</v>
      </c>
      <c r="B117" s="9" t="n">
        <v>1442303</v>
      </c>
      <c r="C117" s="2" t="s">
        <v>507</v>
      </c>
      <c r="D117" s="2" t="s">
        <v>505</v>
      </c>
      <c r="E117" s="2" t="s">
        <v>471</v>
      </c>
      <c r="F117" s="2" t="n">
        <v>1</v>
      </c>
      <c r="G117" s="2" t="n">
        <v>1</v>
      </c>
      <c r="H117" s="3" t="n">
        <v>38</v>
      </c>
      <c r="I117" s="4" t="n">
        <v>36630</v>
      </c>
      <c r="J117" s="4" t="n">
        <f aca="false">H117*I117</f>
        <v>1391940</v>
      </c>
    </row>
    <row r="118" customFormat="false" ht="15" hidden="false" customHeight="false" outlineLevel="0" collapsed="false">
      <c r="A118" s="2" t="s">
        <v>353</v>
      </c>
      <c r="B118" s="9" t="n">
        <v>1442303</v>
      </c>
      <c r="C118" s="2" t="s">
        <v>370</v>
      </c>
      <c r="D118" s="2" t="s">
        <v>505</v>
      </c>
      <c r="E118" s="2" t="s">
        <v>447</v>
      </c>
      <c r="F118" s="2" t="n">
        <v>1</v>
      </c>
      <c r="G118" s="2" t="n">
        <v>1</v>
      </c>
      <c r="H118" s="3" t="n">
        <v>8</v>
      </c>
      <c r="I118" s="4" t="n">
        <v>125000</v>
      </c>
      <c r="J118" s="4" t="n">
        <f aca="false">H118*I118</f>
        <v>1000000</v>
      </c>
    </row>
    <row r="119" customFormat="false" ht="15" hidden="false" customHeight="false" outlineLevel="0" collapsed="false">
      <c r="A119" s="2" t="s">
        <v>353</v>
      </c>
      <c r="B119" s="9" t="n">
        <v>1442303</v>
      </c>
      <c r="C119" s="2" t="s">
        <v>508</v>
      </c>
      <c r="D119" s="2" t="s">
        <v>509</v>
      </c>
      <c r="E119" s="2" t="s">
        <v>471</v>
      </c>
      <c r="F119" s="2" t="n">
        <v>1</v>
      </c>
      <c r="G119" s="2" t="n">
        <v>1</v>
      </c>
      <c r="H119" s="3" t="n">
        <v>4</v>
      </c>
      <c r="I119" s="4" t="n">
        <v>152500</v>
      </c>
      <c r="J119" s="4" t="n">
        <f aca="false">H119*I119</f>
        <v>610000</v>
      </c>
    </row>
    <row r="120" customFormat="false" ht="15" hidden="false" customHeight="false" outlineLevel="0" collapsed="false">
      <c r="A120" s="2" t="s">
        <v>353</v>
      </c>
      <c r="B120" s="9" t="n">
        <v>1442303</v>
      </c>
      <c r="C120" s="2" t="s">
        <v>510</v>
      </c>
      <c r="D120" s="2" t="s">
        <v>495</v>
      </c>
      <c r="E120" s="2" t="s">
        <v>471</v>
      </c>
      <c r="F120" s="2" t="n">
        <v>1</v>
      </c>
      <c r="G120" s="2" t="n">
        <v>1</v>
      </c>
      <c r="H120" s="3" t="n">
        <v>1965</v>
      </c>
      <c r="I120" s="4" t="n">
        <v>6882</v>
      </c>
      <c r="J120" s="4" t="n">
        <f aca="false">H120*I120</f>
        <v>13523130</v>
      </c>
    </row>
    <row r="121" customFormat="false" ht="15" hidden="false" customHeight="false" outlineLevel="0" collapsed="false">
      <c r="A121" s="2" t="s">
        <v>353</v>
      </c>
      <c r="B121" s="9" t="n">
        <v>1442303</v>
      </c>
      <c r="C121" s="2" t="s">
        <v>377</v>
      </c>
      <c r="D121" s="2" t="s">
        <v>511</v>
      </c>
      <c r="E121" s="2" t="s">
        <v>447</v>
      </c>
      <c r="F121" s="2" t="n">
        <v>1</v>
      </c>
      <c r="G121" s="2" t="n">
        <v>1</v>
      </c>
      <c r="H121" s="3" t="n">
        <v>527</v>
      </c>
      <c r="I121" s="4" t="n">
        <v>8658</v>
      </c>
      <c r="J121" s="4" t="n">
        <f aca="false">H121*I121</f>
        <v>4562766</v>
      </c>
    </row>
    <row r="122" customFormat="false" ht="15" hidden="false" customHeight="false" outlineLevel="0" collapsed="false">
      <c r="A122" s="2" t="s">
        <v>353</v>
      </c>
      <c r="B122" s="9" t="n">
        <v>1442303</v>
      </c>
      <c r="C122" s="2" t="s">
        <v>379</v>
      </c>
      <c r="D122" s="2" t="s">
        <v>512</v>
      </c>
      <c r="E122" s="2" t="s">
        <v>447</v>
      </c>
      <c r="F122" s="2" t="n">
        <v>1</v>
      </c>
      <c r="G122" s="2" t="n">
        <v>1</v>
      </c>
      <c r="H122" s="3" t="n">
        <v>748</v>
      </c>
      <c r="I122" s="4" t="n">
        <v>25530</v>
      </c>
      <c r="J122" s="4" t="n">
        <f aca="false">H122*I122</f>
        <v>19096440</v>
      </c>
    </row>
    <row r="123" customFormat="false" ht="15" hidden="false" customHeight="false" outlineLevel="0" collapsed="false">
      <c r="A123" s="2" t="s">
        <v>353</v>
      </c>
      <c r="B123" s="9" t="n">
        <v>1442303</v>
      </c>
      <c r="C123" s="2" t="s">
        <v>381</v>
      </c>
      <c r="D123" s="2" t="s">
        <v>506</v>
      </c>
      <c r="E123" s="2" t="s">
        <v>447</v>
      </c>
      <c r="F123" s="2" t="n">
        <v>1</v>
      </c>
      <c r="G123" s="2" t="n">
        <v>1</v>
      </c>
      <c r="H123" s="3" t="n">
        <v>1104</v>
      </c>
      <c r="I123" s="4" t="n">
        <v>12500</v>
      </c>
      <c r="J123" s="4" t="n">
        <f aca="false">H123*I123</f>
        <v>13800000</v>
      </c>
    </row>
    <row r="124" customFormat="false" ht="15" hidden="false" customHeight="false" outlineLevel="0" collapsed="false">
      <c r="A124" s="2" t="s">
        <v>353</v>
      </c>
      <c r="B124" s="9" t="n">
        <v>1442303</v>
      </c>
      <c r="C124" s="2" t="s">
        <v>513</v>
      </c>
      <c r="D124" s="2" t="s">
        <v>514</v>
      </c>
      <c r="E124" s="2" t="s">
        <v>471</v>
      </c>
      <c r="F124" s="2" t="n">
        <v>1</v>
      </c>
      <c r="G124" s="2" t="n">
        <v>1</v>
      </c>
      <c r="H124" s="3" t="n">
        <v>55</v>
      </c>
      <c r="I124" s="4" t="n">
        <v>14500</v>
      </c>
      <c r="J124" s="4" t="n">
        <f aca="false">H124*I124</f>
        <v>797500</v>
      </c>
    </row>
    <row r="125" customFormat="false" ht="15" hidden="false" customHeight="false" outlineLevel="0" collapsed="false">
      <c r="A125" s="2" t="s">
        <v>353</v>
      </c>
      <c r="B125" s="9" t="n">
        <v>1442303</v>
      </c>
      <c r="C125" s="2" t="s">
        <v>383</v>
      </c>
      <c r="D125" s="2" t="s">
        <v>515</v>
      </c>
      <c r="E125" s="2" t="s">
        <v>447</v>
      </c>
      <c r="F125" s="2" t="n">
        <v>1</v>
      </c>
      <c r="G125" s="2" t="n">
        <v>1</v>
      </c>
      <c r="H125" s="3" t="n">
        <v>69</v>
      </c>
      <c r="I125" s="4" t="n">
        <v>78750</v>
      </c>
      <c r="J125" s="4" t="n">
        <f aca="false">H125*I125</f>
        <v>5433750</v>
      </c>
    </row>
    <row r="126" customFormat="false" ht="15" hidden="false" customHeight="false" outlineLevel="0" collapsed="false">
      <c r="A126" s="2" t="s">
        <v>353</v>
      </c>
      <c r="B126" s="9" t="n">
        <v>1442303</v>
      </c>
      <c r="C126" s="2" t="s">
        <v>516</v>
      </c>
      <c r="D126" s="2" t="s">
        <v>500</v>
      </c>
      <c r="E126" s="2" t="s">
        <v>471</v>
      </c>
      <c r="F126" s="2" t="n">
        <v>1</v>
      </c>
      <c r="G126" s="2" t="n">
        <v>1</v>
      </c>
      <c r="H126" s="3" t="n">
        <v>7</v>
      </c>
      <c r="I126" s="4" t="n">
        <v>110445</v>
      </c>
      <c r="J126" s="4" t="n">
        <f aca="false">H126*I126</f>
        <v>773115</v>
      </c>
    </row>
    <row r="127" customFormat="false" ht="15" hidden="false" customHeight="false" outlineLevel="0" collapsed="false">
      <c r="A127" s="2" t="s">
        <v>353</v>
      </c>
      <c r="B127" s="9" t="n">
        <v>1442303</v>
      </c>
      <c r="C127" s="2" t="s">
        <v>517</v>
      </c>
      <c r="D127" s="2" t="s">
        <v>506</v>
      </c>
      <c r="E127" s="2" t="s">
        <v>471</v>
      </c>
      <c r="F127" s="2" t="n">
        <v>1</v>
      </c>
      <c r="G127" s="2" t="n">
        <v>1</v>
      </c>
      <c r="H127" s="3" t="n">
        <v>7</v>
      </c>
      <c r="I127" s="4" t="n">
        <v>30000</v>
      </c>
      <c r="J127" s="4" t="n">
        <f aca="false">H127*I127</f>
        <v>210000</v>
      </c>
    </row>
    <row r="128" customFormat="false" ht="15" hidden="false" customHeight="false" outlineLevel="0" collapsed="false">
      <c r="A128" s="2" t="s">
        <v>353</v>
      </c>
      <c r="B128" s="9" t="n">
        <v>1442303</v>
      </c>
      <c r="C128" s="2" t="s">
        <v>385</v>
      </c>
      <c r="D128" s="2" t="s">
        <v>518</v>
      </c>
      <c r="E128" s="2" t="s">
        <v>447</v>
      </c>
      <c r="F128" s="2" t="n">
        <v>1</v>
      </c>
      <c r="G128" s="2" t="n">
        <v>1</v>
      </c>
      <c r="H128" s="3" t="n">
        <v>144</v>
      </c>
      <c r="I128" s="4" t="n">
        <v>10545</v>
      </c>
      <c r="J128" s="4" t="n">
        <f aca="false">H128*I128</f>
        <v>1518480</v>
      </c>
    </row>
    <row r="129" customFormat="false" ht="15" hidden="false" customHeight="false" outlineLevel="0" collapsed="false">
      <c r="A129" s="2" t="s">
        <v>353</v>
      </c>
      <c r="B129" s="9" t="n">
        <v>1442303</v>
      </c>
      <c r="C129" s="2" t="s">
        <v>390</v>
      </c>
      <c r="D129" s="2" t="s">
        <v>519</v>
      </c>
      <c r="E129" s="2" t="s">
        <v>447</v>
      </c>
      <c r="F129" s="2" t="n">
        <v>1</v>
      </c>
      <c r="G129" s="2" t="n">
        <v>1</v>
      </c>
      <c r="H129" s="3" t="n">
        <v>806</v>
      </c>
      <c r="I129" s="4" t="n">
        <v>64380</v>
      </c>
      <c r="J129" s="4" t="n">
        <f aca="false">H129*I129</f>
        <v>51890280</v>
      </c>
    </row>
    <row r="130" customFormat="false" ht="15" hidden="false" customHeight="false" outlineLevel="0" collapsed="false">
      <c r="A130" s="2" t="s">
        <v>353</v>
      </c>
      <c r="B130" s="9" t="n">
        <v>1442303</v>
      </c>
      <c r="C130" s="2" t="s">
        <v>520</v>
      </c>
      <c r="D130" s="2" t="s">
        <v>519</v>
      </c>
      <c r="E130" s="2" t="s">
        <v>471</v>
      </c>
      <c r="F130" s="2" t="n">
        <v>1</v>
      </c>
      <c r="G130" s="2" t="n">
        <v>1</v>
      </c>
      <c r="H130" s="3" t="n">
        <v>520</v>
      </c>
      <c r="I130" s="4" t="n">
        <v>47730</v>
      </c>
      <c r="J130" s="4" t="n">
        <f aca="false">H130*I130</f>
        <v>24819600</v>
      </c>
    </row>
    <row r="131" customFormat="false" ht="15" hidden="false" customHeight="false" outlineLevel="0" collapsed="false">
      <c r="A131" s="2" t="s">
        <v>175</v>
      </c>
      <c r="B131" s="9" t="n">
        <v>1442102</v>
      </c>
      <c r="C131" s="2" t="s">
        <v>173</v>
      </c>
      <c r="D131" s="2" t="s">
        <v>449</v>
      </c>
      <c r="E131" s="2" t="s">
        <v>447</v>
      </c>
      <c r="F131" s="2" t="n">
        <v>1</v>
      </c>
      <c r="G131" s="2" t="n">
        <v>1</v>
      </c>
      <c r="H131" s="3" t="n">
        <v>4100</v>
      </c>
      <c r="I131" s="4" t="n">
        <v>2025.75</v>
      </c>
      <c r="J131" s="4" t="n">
        <f aca="false">H131*I131</f>
        <v>8305575</v>
      </c>
    </row>
    <row r="132" customFormat="false" ht="15" hidden="false" customHeight="false" outlineLevel="0" collapsed="false">
      <c r="A132" s="2" t="s">
        <v>175</v>
      </c>
      <c r="B132" s="9" t="n">
        <v>1442102</v>
      </c>
      <c r="C132" s="2" t="s">
        <v>191</v>
      </c>
      <c r="D132" s="2" t="s">
        <v>521</v>
      </c>
      <c r="E132" s="2" t="s">
        <v>447</v>
      </c>
      <c r="F132" s="2" t="n">
        <v>1</v>
      </c>
      <c r="G132" s="2" t="n">
        <v>1</v>
      </c>
      <c r="H132" s="3" t="n">
        <v>16300</v>
      </c>
      <c r="I132" s="4" t="n">
        <v>2053.5</v>
      </c>
      <c r="J132" s="4" t="n">
        <f aca="false">H132*I132</f>
        <v>33472050</v>
      </c>
    </row>
    <row r="133" customFormat="false" ht="15" hidden="false" customHeight="false" outlineLevel="0" collapsed="false">
      <c r="A133" s="2" t="s">
        <v>175</v>
      </c>
      <c r="B133" s="9" t="n">
        <v>1442102</v>
      </c>
      <c r="C133" s="2" t="s">
        <v>204</v>
      </c>
      <c r="D133" s="2" t="s">
        <v>521</v>
      </c>
      <c r="E133" s="2" t="s">
        <v>447</v>
      </c>
      <c r="F133" s="2" t="n">
        <v>1</v>
      </c>
      <c r="G133" s="2" t="n">
        <v>1</v>
      </c>
      <c r="H133" s="3" t="n">
        <v>4400</v>
      </c>
      <c r="I133" s="4" t="n">
        <v>1887</v>
      </c>
      <c r="J133" s="4" t="n">
        <f aca="false">H133*I133</f>
        <v>8302800</v>
      </c>
    </row>
    <row r="134" customFormat="false" ht="15" hidden="false" customHeight="false" outlineLevel="0" collapsed="false">
      <c r="A134" s="2" t="s">
        <v>175</v>
      </c>
      <c r="B134" s="9" t="n">
        <v>1442102</v>
      </c>
      <c r="C134" s="2" t="s">
        <v>206</v>
      </c>
      <c r="D134" s="2" t="s">
        <v>449</v>
      </c>
      <c r="E134" s="2" t="s">
        <v>447</v>
      </c>
      <c r="F134" s="2" t="n">
        <v>1</v>
      </c>
      <c r="G134" s="2" t="n">
        <v>1</v>
      </c>
      <c r="H134" s="3" t="n">
        <v>8890</v>
      </c>
      <c r="I134" s="4" t="n">
        <v>1887</v>
      </c>
      <c r="J134" s="4" t="n">
        <f aca="false">H134*I134</f>
        <v>16775430</v>
      </c>
    </row>
    <row r="135" customFormat="false" ht="15" hidden="false" customHeight="false" outlineLevel="0" collapsed="false">
      <c r="I135" s="13" t="s">
        <v>522</v>
      </c>
      <c r="J135" s="14" t="n">
        <f aca="false">SUM(J2:J134)</f>
        <v>982691570.5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0"/>
    <col collapsed="false" customWidth="true" hidden="false" outlineLevel="0" max="3" min="3" style="0" width="30"/>
    <col collapsed="false" customWidth="true" hidden="false" outlineLevel="0" max="4" min="4" style="0" width="16"/>
    <col collapsed="false" customWidth="true" hidden="false" outlineLevel="0" max="5" min="5" style="0" width="18"/>
  </cols>
  <sheetData>
    <row r="1" customFormat="false" ht="15" hidden="false" customHeight="false" outlineLevel="0" collapsed="false">
      <c r="A1" s="15" t="s">
        <v>523</v>
      </c>
    </row>
    <row r="3" customFormat="false" ht="15" hidden="false" customHeight="false" outlineLevel="0" collapsed="false">
      <c r="A3" s="1" t="s">
        <v>438</v>
      </c>
      <c r="B3" s="1" t="s">
        <v>27</v>
      </c>
      <c r="C3" s="1" t="s">
        <v>25</v>
      </c>
      <c r="D3" s="1" t="s">
        <v>524</v>
      </c>
      <c r="E3" s="1" t="s">
        <v>445</v>
      </c>
    </row>
    <row r="4" customFormat="false" ht="15" hidden="false" customHeight="false" outlineLevel="0" collapsed="false">
      <c r="A4" s="2" t="s">
        <v>35</v>
      </c>
      <c r="B4" s="2" t="n">
        <v>1442305</v>
      </c>
      <c r="C4" s="2" t="s">
        <v>36</v>
      </c>
      <c r="D4" s="3" t="n">
        <f aca="false">SUMPRODUCT((Harga_FIFO_Stok_Aktif!$A$2:$A$134=A4)*(Harga_FIFO_Stok_Aktif!$F$2:$F$134=1))</f>
        <v>7</v>
      </c>
      <c r="E4" s="4" t="n">
        <f aca="false">SUMIFS(Harga_FIFO_Stok_Aktif!$J$2:$J$134,Harga_FIFO_Stok_Aktif!$A$2:$A$134,A4)</f>
        <v>128216000</v>
      </c>
    </row>
    <row r="5" customFormat="false" ht="15" hidden="false" customHeight="false" outlineLevel="0" collapsed="false">
      <c r="A5" s="2" t="s">
        <v>525</v>
      </c>
      <c r="B5" s="2" t="n">
        <v>1442302</v>
      </c>
      <c r="C5" s="2" t="s">
        <v>526</v>
      </c>
      <c r="D5" s="3" t="n">
        <f aca="false">SUMPRODUCT((Harga_FIFO_Stok_Aktif!$A$2:$A$134=A5)*(Harga_FIFO_Stok_Aktif!$F$2:$F$134=1))</f>
        <v>0</v>
      </c>
      <c r="E5" s="4" t="n">
        <f aca="false">SUMIFS(Harga_FIFO_Stok_Aktif!$J$2:$J$134,Harga_FIFO_Stok_Aktif!$A$2:$A$134,A5)</f>
        <v>0</v>
      </c>
    </row>
    <row r="6" customFormat="false" ht="15" hidden="false" customHeight="false" outlineLevel="0" collapsed="false">
      <c r="A6" s="2" t="s">
        <v>300</v>
      </c>
      <c r="B6" s="2" t="n">
        <v>1442105</v>
      </c>
      <c r="C6" s="2" t="s">
        <v>301</v>
      </c>
      <c r="D6" s="3" t="n">
        <f aca="false">SUMPRODUCT((Harga_FIFO_Stok_Aktif!$A$2:$A$134=A6)*(Harga_FIFO_Stok_Aktif!$F$2:$F$134=1))</f>
        <v>2</v>
      </c>
      <c r="E6" s="4" t="n">
        <f aca="false">SUMIFS(Harga_FIFO_Stok_Aktif!$J$2:$J$134,Harga_FIFO_Stok_Aktif!$A$2:$A$134,A6)</f>
        <v>292123062.5</v>
      </c>
    </row>
    <row r="7" customFormat="false" ht="15" hidden="false" customHeight="false" outlineLevel="0" collapsed="false">
      <c r="A7" s="2" t="s">
        <v>66</v>
      </c>
      <c r="B7" s="2" t="n">
        <v>1442301</v>
      </c>
      <c r="C7" s="2" t="s">
        <v>67</v>
      </c>
      <c r="D7" s="3" t="n">
        <f aca="false">SUMPRODUCT((Harga_FIFO_Stok_Aktif!$A$2:$A$134=A7)*(Harga_FIFO_Stok_Aktif!$F$2:$F$134=1))</f>
        <v>74</v>
      </c>
      <c r="E7" s="4" t="n">
        <f aca="false">SUMIFS(Harga_FIFO_Stok_Aktif!$J$2:$J$134,Harga_FIFO_Stok_Aktif!$A$2:$A$134,A7)</f>
        <v>213465563.5</v>
      </c>
    </row>
    <row r="8" customFormat="false" ht="15" hidden="false" customHeight="false" outlineLevel="0" collapsed="false">
      <c r="A8" s="2" t="s">
        <v>311</v>
      </c>
      <c r="B8" s="2" t="n">
        <v>1442103</v>
      </c>
      <c r="C8" s="2" t="s">
        <v>312</v>
      </c>
      <c r="D8" s="3" t="n">
        <f aca="false">SUMPRODUCT((Harga_FIFO_Stok_Aktif!$A$2:$A$134=A8)*(Harga_FIFO_Stok_Aktif!$F$2:$F$134=1))</f>
        <v>1</v>
      </c>
      <c r="E8" s="4" t="n">
        <f aca="false">SUMIFS(Harga_FIFO_Stok_Aktif!$J$2:$J$134,Harga_FIFO_Stok_Aktif!$A$2:$A$134,A8)</f>
        <v>12175312.5</v>
      </c>
    </row>
    <row r="9" customFormat="false" ht="15" hidden="false" customHeight="false" outlineLevel="0" collapsed="false">
      <c r="A9" s="2" t="s">
        <v>483</v>
      </c>
      <c r="B9" s="2" t="n">
        <v>1442304</v>
      </c>
      <c r="C9" s="2" t="s">
        <v>527</v>
      </c>
      <c r="D9" s="3" t="n">
        <f aca="false">SUMPRODUCT((Harga_FIFO_Stok_Aktif!$A$2:$A$134=A9)*(Harga_FIFO_Stok_Aktif!$F$2:$F$134=1))</f>
        <v>6</v>
      </c>
      <c r="E9" s="4" t="n">
        <f aca="false">SUMIFS(Harga_FIFO_Stok_Aktif!$J$2:$J$134,Harga_FIFO_Stok_Aktif!$A$2:$A$134,A9)</f>
        <v>30393250</v>
      </c>
    </row>
    <row r="10" customFormat="false" ht="15" hidden="false" customHeight="false" outlineLevel="0" collapsed="false">
      <c r="A10" s="2" t="s">
        <v>528</v>
      </c>
      <c r="B10" s="2" t="n">
        <v>1442202</v>
      </c>
      <c r="C10" s="2" t="s">
        <v>529</v>
      </c>
      <c r="D10" s="3" t="n">
        <f aca="false">SUMPRODUCT((Harga_FIFO_Stok_Aktif!$A$2:$A$134=A10)*(Harga_FIFO_Stok_Aktif!$F$2:$F$134=1))</f>
        <v>0</v>
      </c>
      <c r="E10" s="4" t="n">
        <f aca="false">SUMIFS(Harga_FIFO_Stok_Aktif!$J$2:$J$134,Harga_FIFO_Stok_Aktif!$A$2:$A$134,A10)</f>
        <v>0</v>
      </c>
    </row>
    <row r="11" customFormat="false" ht="15" hidden="false" customHeight="false" outlineLevel="0" collapsed="false">
      <c r="A11" s="2" t="s">
        <v>353</v>
      </c>
      <c r="B11" s="2" t="n">
        <v>1442303</v>
      </c>
      <c r="C11" s="2" t="s">
        <v>354</v>
      </c>
      <c r="D11" s="3" t="n">
        <f aca="false">SUMPRODUCT((Harga_FIFO_Stok_Aktif!$A$2:$A$134=A11)*(Harga_FIFO_Stok_Aktif!$F$2:$F$134=1))</f>
        <v>24</v>
      </c>
      <c r="E11" s="4" t="n">
        <f aca="false">SUMIFS(Harga_FIFO_Stok_Aktif!$J$2:$J$134,Harga_FIFO_Stok_Aktif!$A$2:$A$134,A11)</f>
        <v>239462527</v>
      </c>
    </row>
    <row r="12" customFormat="false" ht="15" hidden="false" customHeight="false" outlineLevel="0" collapsed="false">
      <c r="A12" s="2" t="s">
        <v>175</v>
      </c>
      <c r="B12" s="2" t="n">
        <v>1442102</v>
      </c>
      <c r="C12" s="2" t="s">
        <v>176</v>
      </c>
      <c r="D12" s="3" t="n">
        <f aca="false">SUMPRODUCT((Harga_FIFO_Stok_Aktif!$A$2:$A$134=A12)*(Harga_FIFO_Stok_Aktif!$F$2:$F$134=1))</f>
        <v>4</v>
      </c>
      <c r="E12" s="4" t="n">
        <f aca="false">SUMIFS(Harga_FIFO_Stok_Aktif!$J$2:$J$134,Harga_FIFO_Stok_Aktif!$A$2:$A$134,A12)</f>
        <v>66855855</v>
      </c>
    </row>
    <row r="13" customFormat="false" ht="15" hidden="false" customHeight="false" outlineLevel="0" collapsed="false">
      <c r="C13" s="13" t="s">
        <v>522</v>
      </c>
      <c r="D13" s="16" t="n">
        <f aca="false">SUM(D4:D12)</f>
        <v>118</v>
      </c>
      <c r="E13" s="14" t="n">
        <f aca="false">SUM(E4:E12)</f>
        <v>982691570.5</v>
      </c>
    </row>
    <row r="15" customFormat="false" ht="15" hidden="false" customHeight="false" outlineLevel="0" collapsed="false">
      <c r="A15" s="13" t="s">
        <v>530</v>
      </c>
    </row>
    <row r="16" customFormat="false" ht="15" hidden="false" customHeight="false" outlineLevel="0" collapsed="false">
      <c r="A16" s="17" t="s">
        <v>531</v>
      </c>
    </row>
    <row r="17" customFormat="false" ht="15" hidden="false" customHeight="false" outlineLevel="0" collapsed="false">
      <c r="A17" s="17" t="s">
        <v>532</v>
      </c>
    </row>
    <row r="18" customFormat="false" ht="15" hidden="false" customHeight="false" outlineLevel="0" collapsed="false">
      <c r="A18" s="17" t="s">
        <v>533</v>
      </c>
    </row>
    <row r="19" customFormat="false" ht="15" hidden="false" customHeight="false" outlineLevel="0" collapsed="false">
      <c r="A19" s="17" t="s">
        <v>534</v>
      </c>
    </row>
    <row r="20" customFormat="false" ht="15" hidden="false" customHeight="false" outlineLevel="0" collapsed="false">
      <c r="A20" s="17" t="s">
        <v>535</v>
      </c>
    </row>
    <row r="21" customFormat="false" ht="15" hidden="false" customHeight="false" outlineLevel="0" collapsed="false">
      <c r="A21" s="17" t="s">
        <v>536</v>
      </c>
    </row>
    <row r="22" customFormat="false" ht="15" hidden="false" customHeight="false" outlineLevel="0" collapsed="false">
      <c r="A22" s="17" t="s">
        <v>537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2026-07-20T06:44:02Z</dcterms:created>
  <dc:creator>openpyxl</dc:creator>
  <dc:description/>
  <dc:language>en-US</dc:language>
  <cp:lastModifiedBy/>
  <dcterms:modified xsi:type="dcterms:W3CDTF">2026-07-20T06:44:02Z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